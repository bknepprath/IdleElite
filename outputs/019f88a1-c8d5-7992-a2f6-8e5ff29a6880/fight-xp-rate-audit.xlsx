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2e9eff31f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de93a1fe421b48fc"/>
    <x:sheet xmlns:r="http://schemas.openxmlformats.org/officeDocument/2006/relationships" name="Fight Simulation" sheetId="2" r:id="R749255f717f74c59"/>
    <x:sheet xmlns:r="http://schemas.openxmlformats.org/officeDocument/2006/relationships" name="Skilling Baseline" sheetId="3" r:id="Rb870f7724b96452c"/>
    <x:sheet xmlns:r="http://schemas.openxmlformats.org/officeDocument/2006/relationships" name="Comparator Pool" sheetId="4" r:id="R0d01b3e8a536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"/>
    <x:numFmt numFmtId="202" formatCode="#,##0.00"/>
    <x:numFmt numFmtId="203" formatCode="0.0"/>
    <x:numFmt numFmtId="204" formatCode="#,##0"/>
    <x:numFmt numFmtId="205" formatCode="0.0%"/>
  </x:numFmts>
  <x:fonts count="3">
    <x:font>
      <x:sz val="11"/>
      <x:name val="Carlito"/>
    </x:font>
    <x:font>
      <x:b/>
      <x:sz val="11"/>
      <x:color rgb="FF162433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CE8F2"/>
      </x:patternFill>
    </x:fill>
    <x:fill>
      <x:patternFill patternType="solid">
        <x:fgColor rgb="FF20344A"/>
      </x:patternFill>
    </x:fill>
    <x:fill>
      <x:patternFill patternType="solid">
        <x:fgColor rgb="FFE9EEF3"/>
      </x:patternFill>
    </x:fill>
  </x:fills>
  <x:borders count="5">
    <x:border/>
    <x:border>
      <x:bottom style="medium">
        <x:color rgb="FF8FA8BC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4" fontId="0" fillId="0" borderId="2" xfId="0" applyNumberFormat="1" applyFont="1" applyFill="1" applyBorder="1"/>
    <x:xf numFmtId="205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4" fontId="0" fillId="0" borderId="3" xfId="0" applyNumberFormat="1" applyFont="1" applyFill="1" applyBorder="1"/>
    <x:xf numFmtId="205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4" fontId="0" fillId="0" borderId="4" xfId="0" applyNumberFormat="1" applyFont="1" applyFill="1" applyBorder="1"/>
    <x:xf numFmtId="205" fontId="0" fillId="0" borderId="4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ec1bbc1c948f1" /><Relationship Type="http://schemas.openxmlformats.org/officeDocument/2006/relationships/theme" Target="/xl/theme/theme1.xml" Id="Ra94e3a967b644826" /><Relationship Type="http://schemas.openxmlformats.org/officeDocument/2006/relationships/sharedStrings" Target="/xl/sharedStrings.xml" Id="R14fa6c7f9a334878" /><Relationship Type="http://schemas.openxmlformats.org/officeDocument/2006/relationships/worksheet" Target="/xl/worksheets/sheet1.xml" Id="Rde93a1fe421b48fc" /><Relationship Type="http://schemas.openxmlformats.org/officeDocument/2006/relationships/worksheet" Target="/xl/worksheets/sheet2.xml" Id="R749255f717f74c59" /><Relationship Type="http://schemas.openxmlformats.org/officeDocument/2006/relationships/worksheet" Target="/xl/worksheets/sheet3.xml" Id="Rb870f7724b96452c" /><Relationship Type="http://schemas.openxmlformats.org/officeDocument/2006/relationships/worksheet" Target="/xl/worksheets/sheet4.xml" Id="R0d01b3e8a53640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7d6601dbac4b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Fight XP/hour as % of comparable skilling median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Fight / skilling median</c:v>
          </c:tx>
          <c:cat>
            <c:strRef>
              <c:f>'Audit'!$A$39:$A$47</c:f>
              <c:strCache>
                <c:ptCount val="0"/>
              </c:strCache>
            </c:strRef>
          </c:cat>
          <c:val>
            <c:numRef>
              <c:f>'Audit'!$B$39:$B$47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7d6601dbac4be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fccb92adc045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.3799991607666" hidden="0" customWidth="1"/>
    <x:col min="3" max="3" width="30.3799991607666" hidden="0" customWidth="1"/>
    <x:col min="4" max="4" width="30.3799991607666" hidden="0" customWidth="1"/>
    <x:col min="5" max="5" width="30.3799991607666" hidden="0" customWidth="1"/>
    <x:col min="6" max="6" width="30.3799991607666" hidden="0" customWidth="1"/>
    <x:col min="7" max="7" width="30.3799991607666" hidden="0" customWidth="1"/>
    <x:col min="8" max="8" width="24" hidden="0" customWidth="1"/>
  </x:cols>
  <x:sheetData>
    <x:row r="1">
      <x:c r="A1" s="12" t="str">
        <x:v>Fight experience-rate audit</x:v>
      </x:c>
      <x:c r="B1" s="12" t="str">
        <x:v>Fight experience-rate audit</x:v>
      </x:c>
      <x:c r="C1" s="12" t="str">
        <x:v>Fight experience-rate audit</x:v>
      </x:c>
      <x:c r="D1" s="12" t="str">
        <x:v>Fight experience-rate audit</x:v>
      </x:c>
      <x:c r="E1" s="12" t="str">
        <x:v>Fight experience-rate audit</x:v>
      </x:c>
      <x:c r="F1" s="12" t="str">
        <x:v>Fight experience-rate audit</x:v>
      </x:c>
      <x:c r="G1" s="12" t="str">
        <x:v>Fight experience-rate audit</x:v>
      </x:c>
      <x:c r="H1" s="12" t="str">
        <x:v>Fight experience-rate audit</x:v>
      </x:c>
    </x:row>
    <x:row r="3">
      <x:c r="A3" s="4" t="str">
        <x:v>Fight</x:v>
      </x:c>
      <x:c r="B3" s="4" t="str">
        <x:v>Unlock</x:v>
      </x:c>
      <x:c r="C3" s="4" t="str">
        <x:v>Level tested</x:v>
      </x:c>
      <x:c r="D3" s="4" t="str">
        <x:v>Fight XP/hour</x:v>
      </x:c>
      <x:c r="E3" s="4" t="str">
        <x:v>Comparable median</x:v>
      </x:c>
      <x:c r="F3" s="4" t="str">
        <x:v>Comparable best</x:v>
      </x:c>
      <x:c r="G3" s="4" t="str">
        <x:v>Fight / median</x:v>
      </x:c>
      <x:c r="H3" s="4" t="str">
        <x:v>Comparator pool</x:v>
      </x:c>
    </x:row>
    <x:row r="4">
      <x:c r="A4" s="14" t="str">
        <x:f>'Fight Simulation'!B2</x:f>
        <x:v>Fight Chickens</x:v>
      </x:c>
      <x:c r="B4" s="15" t="n">
        <x:f>'Fight Simulation'!C2</x:f>
        <x:v>5</x:v>
      </x:c>
      <x:c r="C4" s="15" t="n">
        <x:f>'Fight Simulation'!D2</x:f>
        <x:v>5</x:v>
      </x:c>
      <x:c r="D4" s="16" t="n">
        <x:f>'Fight Simulation'!E2</x:f>
        <x:v>0</x:v>
      </x:c>
      <x:c r="E4" s="16" t="n">
        <x:f>MEDIAN('Comparator Pool'!F2:F18)</x:f>
        <x:v>8968.695652173914</x:v>
      </x:c>
      <x:c r="F4" s="16" t="n">
        <x:f>MAX('Comparator Pool'!F2:F18)</x:f>
        <x:v>20135.838926174496</x:v>
      </x:c>
      <x:c r="G4" s="17" t="n">
        <x:f>IF(E4=0,0,D4/E4)</x:f>
        <x:v>0</x:v>
      </x:c>
      <x:c r="H4" s="14" t="str">
        <x:v>17 methods; ±3 levels</x:v>
      </x:c>
    </x:row>
    <x:row r="5">
      <x:c r="A5" s="18" t="str">
        <x:f>'Fight Simulation'!B3</x:f>
        <x:v>Fight Chickens</x:v>
      </x:c>
      <x:c r="B5" s="19" t="n">
        <x:f>'Fight Simulation'!C3</x:f>
        <x:v>5</x:v>
      </x:c>
      <x:c r="C5" s="19" t="n">
        <x:f>'Fight Simulation'!D3</x:f>
        <x:v>52</x:v>
      </x:c>
      <x:c r="D5" s="20" t="n">
        <x:f>'Fight Simulation'!E3</x:f>
        <x:v>223.8</x:v>
      </x:c>
      <x:c r="E5" s="20" t="n">
        <x:f>MEDIAN('Comparator Pool'!F19:F26)</x:f>
        <x:v>43128.2340617663</x:v>
      </x:c>
      <x:c r="F5" s="20" t="n">
        <x:f>MAX('Comparator Pool'!F19:F26)</x:f>
        <x:v>53256.701461377874</x:v>
      </x:c>
      <x:c r="G5" s="21" t="n">
        <x:f>IF(E5=0,0,D5/E5)</x:f>
        <x:v>0.005189176066877299</x:v>
      </x:c>
      <x:c r="H5" s="18" t="str">
        <x:v>8 methods; ±3 levels</x:v>
      </x:c>
    </x:row>
    <x:row r="6">
      <x:c r="A6" s="18" t="str">
        <x:f>'Fight Simulation'!B4</x:f>
        <x:v>Fight Chickens</x:v>
      </x:c>
      <x:c r="B6" s="19" t="n">
        <x:f>'Fight Simulation'!C4</x:f>
        <x:v>5</x:v>
      </x:c>
      <x:c r="C6" s="19" t="n">
        <x:f>'Fight Simulation'!D4</x:f>
        <x:v>99</x:v>
      </x:c>
      <x:c r="D6" s="20" t="n">
        <x:f>'Fight Simulation'!E4</x:f>
        <x:v>647.5</x:v>
      </x:c>
      <x:c r="E6" s="20" t="n">
        <x:f>MEDIAN('Comparator Pool'!F27:F27)</x:f>
        <x:v>439110.00000000006</x:v>
      </x:c>
      <x:c r="F6" s="20" t="n">
        <x:f>MAX('Comparator Pool'!F27:F27)</x:f>
        <x:v>439110.00000000006</x:v>
      </x:c>
      <x:c r="G6" s="21" t="n">
        <x:f>IF(E6=0,0,D6/E6)</x:f>
        <x:v>0.0014745735692651043</x:v>
      </x:c>
      <x:c r="H6" s="18" t="str">
        <x:v>1 methods; nearest level (4)</x:v>
      </x:c>
    </x:row>
    <x:row r="7">
      <x:c r="A7" s="18" t="str">
        <x:f>'Fight Simulation'!B5</x:f>
        <x:v>Fight Goblins</x:v>
      </x:c>
      <x:c r="B7" s="19" t="n">
        <x:f>'Fight Simulation'!C5</x:f>
        <x:v>16</x:v>
      </x:c>
      <x:c r="C7" s="19" t="n">
        <x:f>'Fight Simulation'!D5</x:f>
        <x:v>16</x:v>
      </x:c>
      <x:c r="D7" s="20" t="n">
        <x:f>'Fight Simulation'!E5</x:f>
        <x:v>0</x:v>
      </x:c>
      <x:c r="E7" s="20" t="n">
        <x:f>MEDIAN('Comparator Pool'!F28:F37)</x:f>
        <x:v>19311.17468906477</x:v>
      </x:c>
      <x:c r="F7" s="20" t="n">
        <x:f>MAX('Comparator Pool'!F28:F37)</x:f>
        <x:v>27241.518987341773</x:v>
      </x:c>
      <x:c r="G7" s="21" t="n">
        <x:f>IF(E7=0,0,D7/E7)</x:f>
        <x:v>0</x:v>
      </x:c>
      <x:c r="H7" s="18" t="str">
        <x:v>10 methods; ±3 levels</x:v>
      </x:c>
    </x:row>
    <x:row r="8">
      <x:c r="A8" s="18" t="str">
        <x:f>'Fight Simulation'!B6</x:f>
        <x:v>Fight Goblins</x:v>
      </x:c>
      <x:c r="B8" s="19" t="n">
        <x:f>'Fight Simulation'!C6</x:f>
        <x:v>16</x:v>
      </x:c>
      <x:c r="C8" s="19" t="n">
        <x:f>'Fight Simulation'!D6</x:f>
        <x:v>58</x:v>
      </x:c>
      <x:c r="D8" s="20" t="n">
        <x:f>'Fight Simulation'!E6</x:f>
        <x:v>1835</x:v>
      </x:c>
      <x:c r="E8" s="20" t="n">
        <x:f>MEDIAN('Comparator Pool'!F38:F45)</x:f>
        <x:v>39281.28373963307</x:v>
      </x:c>
      <x:c r="F8" s="20" t="n">
        <x:f>MAX('Comparator Pool'!F38:F45)</x:f>
        <x:v>57177.406340057634</x:v>
      </x:c>
      <x:c r="G8" s="21" t="n">
        <x:f>IF(E8=0,0,D8/E8)</x:f>
        <x:v>0.04671435923945037</x:v>
      </x:c>
      <x:c r="H8" s="18" t="str">
        <x:v>8 methods; ±3 levels</x:v>
      </x:c>
    </x:row>
    <x:row r="9">
      <x:c r="A9" s="18" t="str">
        <x:f>'Fight Simulation'!B7</x:f>
        <x:v>Fight Goblins</x:v>
      </x:c>
      <x:c r="B9" s="19" t="n">
        <x:f>'Fight Simulation'!C7</x:f>
        <x:v>16</x:v>
      </x:c>
      <x:c r="C9" s="19" t="n">
        <x:f>'Fight Simulation'!D7</x:f>
        <x:v>99</x:v>
      </x:c>
      <x:c r="D9" s="20" t="n">
        <x:f>'Fight Simulation'!E7</x:f>
        <x:v>2133.8</x:v>
      </x:c>
      <x:c r="E9" s="20" t="n">
        <x:f>MEDIAN('Comparator Pool'!F46:F46)</x:f>
        <x:v>439110.00000000006</x:v>
      </x:c>
      <x:c r="F9" s="20" t="n">
        <x:f>MAX('Comparator Pool'!F46:F46)</x:f>
        <x:v>439110.00000000006</x:v>
      </x:c>
      <x:c r="G9" s="21" t="n">
        <x:f>IF(E9=0,0,D9/E9)</x:f>
        <x:v>0.0048593746441666094</x:v>
      </x:c>
      <x:c r="H9" s="18" t="str">
        <x:v>1 methods; nearest level (4)</x:v>
      </x:c>
    </x:row>
    <x:row r="10">
      <x:c r="A10" s="18" t="str">
        <x:f>'Fight Simulation'!B8</x:f>
        <x:v>Fight R.O.U.S.es</x:v>
      </x:c>
      <x:c r="B10" s="19" t="n">
        <x:f>'Fight Simulation'!C8</x:f>
        <x:v>24</x:v>
      </x:c>
      <x:c r="C10" s="19" t="n">
        <x:f>'Fight Simulation'!D8</x:f>
        <x:v>24</x:v>
      </x:c>
      <x:c r="D10" s="20" t="n">
        <x:f>'Fight Simulation'!E8</x:f>
        <x:v>0</x:v>
      </x:c>
      <x:c r="E10" s="20" t="n">
        <x:f>MEDIAN('Comparator Pool'!F47:F56)</x:f>
        <x:v>25122.287395421532</x:v>
      </x:c>
      <x:c r="F10" s="20" t="n">
        <x:f>MAX('Comparator Pool'!F47:F56)</x:f>
        <x:v>30783.23353293413</x:v>
      </x:c>
      <x:c r="G10" s="21" t="n">
        <x:f>IF(E10=0,0,D10/E10)</x:f>
        <x:v>0</x:v>
      </x:c>
      <x:c r="H10" s="18" t="str">
        <x:v>10 methods; ±3 levels</x:v>
      </x:c>
    </x:row>
    <x:row r="11">
      <x:c r="A11" s="18" t="str">
        <x:f>'Fight Simulation'!B9</x:f>
        <x:v>Fight R.O.U.S.es</x:v>
      </x:c>
      <x:c r="B11" s="19" t="n">
        <x:f>'Fight Simulation'!C9</x:f>
        <x:v>24</x:v>
      </x:c>
      <x:c r="C11" s="19" t="n">
        <x:f>'Fight Simulation'!D9</x:f>
        <x:v>62</x:v>
      </x:c>
      <x:c r="D11" s="20" t="n">
        <x:f>'Fight Simulation'!E9</x:f>
        <x:v>3208.8</x:v>
      </x:c>
      <x:c r="E11" s="20" t="n">
        <x:f>MEDIAN('Comparator Pool'!F57:F63)</x:f>
        <x:v>39813.98882681565</x:v>
      </x:c>
      <x:c r="F11" s="20" t="n">
        <x:f>MAX('Comparator Pool'!F57:F63)</x:f>
        <x:v>58765.68383658969</x:v>
      </x:c>
      <x:c r="G11" s="21" t="n">
        <x:f>IF(E11=0,0,D11/E11)</x:f>
        <x:v>0.0805947882780034</x:v>
      </x:c>
      <x:c r="H11" s="18" t="str">
        <x:v>7 methods; ±3 levels</x:v>
      </x:c>
    </x:row>
    <x:row r="12">
      <x:c r="A12" s="18" t="str">
        <x:f>'Fight Simulation'!B10</x:f>
        <x:v>Fight R.O.U.S.es</x:v>
      </x:c>
      <x:c r="B12" s="19" t="n">
        <x:f>'Fight Simulation'!C10</x:f>
        <x:v>24</x:v>
      </x:c>
      <x:c r="C12" s="19" t="n">
        <x:f>'Fight Simulation'!D10</x:f>
        <x:v>99</x:v>
      </x:c>
      <x:c r="D12" s="20" t="n">
        <x:f>'Fight Simulation'!E10</x:f>
        <x:v>3832.5</x:v>
      </x:c>
      <x:c r="E12" s="20" t="n">
        <x:f>MEDIAN('Comparator Pool'!F64:F64)</x:f>
        <x:v>439110.00000000006</x:v>
      </x:c>
      <x:c r="F12" s="20" t="n">
        <x:f>MAX('Comparator Pool'!F64:F64)</x:f>
        <x:v>439110.00000000006</x:v>
      </x:c>
      <x:c r="G12" s="21" t="n">
        <x:f>IF(E12=0,0,D12/E12)</x:f>
        <x:v>0.008727881396461022</x:v>
      </x:c>
      <x:c r="H12" s="18" t="str">
        <x:v>1 methods; nearest level (4)</x:v>
      </x:c>
    </x:row>
    <x:row r="13">
      <x:c r="A13" s="18" t="str">
        <x:f>'Fight Simulation'!B11</x:f>
        <x:v>Fight Guys</x:v>
      </x:c>
      <x:c r="B13" s="19" t="n">
        <x:f>'Fight Simulation'!C11</x:f>
        <x:v>32</x:v>
      </x:c>
      <x:c r="C13" s="19" t="n">
        <x:f>'Fight Simulation'!D11</x:f>
        <x:v>32</x:v>
      </x:c>
      <x:c r="D13" s="20" t="n">
        <x:f>'Fight Simulation'!E11</x:f>
        <x:v>10</x:v>
      </x:c>
      <x:c r="E13" s="20" t="n">
        <x:f>MEDIAN('Comparator Pool'!F65:F73)</x:f>
        <x:v>33217.50000000001</x:v>
      </x:c>
      <x:c r="F13" s="20" t="n">
        <x:f>MAX('Comparator Pool'!F65:F73)</x:f>
        <x:v>39468.29268292683</x:v>
      </x:c>
      <x:c r="G13" s="21" t="n">
        <x:f>IF(E13=0,0,D13/E13)</x:f>
        <x:v>0.0003010461353202378</x:v>
      </x:c>
      <x:c r="H13" s="18" t="str">
        <x:v>9 methods; ±3 levels</x:v>
      </x:c>
    </x:row>
    <x:row r="14">
      <x:c r="A14" s="18" t="str">
        <x:f>'Fight Simulation'!B12</x:f>
        <x:v>Fight Guys</x:v>
      </x:c>
      <x:c r="B14" s="19" t="n">
        <x:f>'Fight Simulation'!C12</x:f>
        <x:v>32</x:v>
      </x:c>
      <x:c r="C14" s="19" t="n">
        <x:f>'Fight Simulation'!D12</x:f>
        <x:v>66</x:v>
      </x:c>
      <x:c r="D14" s="20" t="n">
        <x:f>'Fight Simulation'!E12</x:f>
        <x:v>2637.5</x:v>
      </x:c>
      <x:c r="E14" s="20" t="n">
        <x:f>MEDIAN('Comparator Pool'!F74:F77)</x:f>
        <x:v>46534.2772169215</x:v>
      </x:c>
      <x:c r="F14" s="20" t="n">
        <x:f>MAX('Comparator Pool'!F74:F77)</x:f>
        <x:v>58765.68383658969</x:v>
      </x:c>
      <x:c r="G14" s="21" t="n">
        <x:f>IF(E14=0,0,D14/E14)</x:f>
        <x:v>0.05667864975543044</x:v>
      </x:c>
      <x:c r="H14" s="18" t="str">
        <x:v>4 methods; ±3 levels</x:v>
      </x:c>
    </x:row>
    <x:row r="15">
      <x:c r="A15" s="18" t="str">
        <x:f>'Fight Simulation'!B13</x:f>
        <x:v>Fight Guys</x:v>
      </x:c>
      <x:c r="B15" s="19" t="n">
        <x:f>'Fight Simulation'!C13</x:f>
        <x:v>32</x:v>
      </x:c>
      <x:c r="C15" s="19" t="n">
        <x:f>'Fight Simulation'!D13</x:f>
        <x:v>99</x:v>
      </x:c>
      <x:c r="D15" s="20" t="n">
        <x:f>'Fight Simulation'!E13</x:f>
        <x:v>3435</x:v>
      </x:c>
      <x:c r="E15" s="20" t="n">
        <x:f>MEDIAN('Comparator Pool'!F78:F78)</x:f>
        <x:v>439110.00000000006</x:v>
      </x:c>
      <x:c r="F15" s="20" t="n">
        <x:f>MAX('Comparator Pool'!F78:F78)</x:f>
        <x:v>439110.00000000006</x:v>
      </x:c>
      <x:c r="G15" s="21" t="n">
        <x:f>IF(E15=0,0,D15/E15)</x:f>
        <x:v>0.0078226412516226</x:v>
      </x:c>
      <x:c r="H15" s="18" t="str">
        <x:v>1 methods; nearest level (4)</x:v>
      </x:c>
    </x:row>
    <x:row r="16">
      <x:c r="A16" s="18" t="str">
        <x:f>'Fight Simulation'!B14</x:f>
        <x:v>Fight Werewolves</x:v>
      </x:c>
      <x:c r="B16" s="19" t="n">
        <x:f>'Fight Simulation'!C14</x:f>
        <x:v>47</x:v>
      </x:c>
      <x:c r="C16" s="19" t="n">
        <x:f>'Fight Simulation'!D14</x:f>
        <x:v>47</x:v>
      </x:c>
      <x:c r="D16" s="20" t="n">
        <x:f>'Fight Simulation'!E14</x:f>
        <x:v>0</x:v>
      </x:c>
      <x:c r="E16" s="20" t="n">
        <x:f>MEDIAN('Comparator Pool'!F79:F86)</x:f>
        <x:v>39993.691053265706</x:v>
      </x:c>
      <x:c r="F16" s="20" t="n">
        <x:f>MAX('Comparator Pool'!F79:F86)</x:f>
        <x:v>50243.25960419091</x:v>
      </x:c>
      <x:c r="G16" s="21" t="n">
        <x:f>IF(E16=0,0,D16/E16)</x:f>
        <x:v>0</x:v>
      </x:c>
      <x:c r="H16" s="18" t="str">
        <x:v>8 methods; ±3 levels</x:v>
      </x:c>
    </x:row>
    <x:row r="17">
      <x:c r="A17" s="18" t="str">
        <x:f>'Fight Simulation'!B15</x:f>
        <x:v>Fight Werewolves</x:v>
      </x:c>
      <x:c r="B17" s="19" t="n">
        <x:f>'Fight Simulation'!C15</x:f>
        <x:v>47</x:v>
      </x:c>
      <x:c r="C17" s="19" t="n">
        <x:f>'Fight Simulation'!D15</x:f>
        <x:v>73</x:v>
      </x:c>
      <x:c r="D17" s="20" t="n">
        <x:f>'Fight Simulation'!E15</x:f>
        <x:v>1935</x:v>
      </x:c>
      <x:c r="E17" s="20" t="n">
        <x:f>MEDIAN('Comparator Pool'!F87:F97)</x:f>
        <x:v>58025.284974093265</x:v>
      </x:c>
      <x:c r="F17" s="20" t="n">
        <x:f>MAX('Comparator Pool'!F87:F97)</x:f>
        <x:v>68532.66141732284</x:v>
      </x:c>
      <x:c r="G17" s="21" t="n">
        <x:f>IF(E17=0,0,D17/E17)</x:f>
        <x:v>0.033347531181689594</x:v>
      </x:c>
      <x:c r="H17" s="18" t="str">
        <x:v>11 methods; ±3 levels</x:v>
      </x:c>
    </x:row>
    <x:row r="18">
      <x:c r="A18" s="18" t="str">
        <x:f>'Fight Simulation'!B16</x:f>
        <x:v>Fight Werewolves</x:v>
      </x:c>
      <x:c r="B18" s="19" t="n">
        <x:f>'Fight Simulation'!C16</x:f>
        <x:v>47</x:v>
      </x:c>
      <x:c r="C18" s="19" t="n">
        <x:f>'Fight Simulation'!D16</x:f>
        <x:v>99</x:v>
      </x:c>
      <x:c r="D18" s="20" t="n">
        <x:f>'Fight Simulation'!E16</x:f>
        <x:v>8287.5</x:v>
      </x:c>
      <x:c r="E18" s="20" t="n">
        <x:f>MEDIAN('Comparator Pool'!F98:F98)</x:f>
        <x:v>439110.00000000006</x:v>
      </x:c>
      <x:c r="F18" s="20" t="n">
        <x:f>MAX('Comparator Pool'!F98:F98)</x:f>
        <x:v>439110.00000000006</x:v>
      </x:c>
      <x:c r="G18" s="21" t="n">
        <x:f>IF(E18=0,0,D18/E18)</x:f>
        <x:v>0.01887340301974448</x:v>
      </x:c>
      <x:c r="H18" s="18" t="str">
        <x:v>1 methods; nearest level (4)</x:v>
      </x:c>
    </x:row>
    <x:row r="19">
      <x:c r="A19" s="18" t="str">
        <x:f>'Fight Simulation'!B17</x:f>
        <x:v>Fight Cave Trolls</x:v>
      </x:c>
      <x:c r="B19" s="19" t="n">
        <x:f>'Fight Simulation'!C17</x:f>
        <x:v>59</x:v>
      </x:c>
      <x:c r="C19" s="19" t="n">
        <x:f>'Fight Simulation'!D17</x:f>
        <x:v>59</x:v>
      </x:c>
      <x:c r="D19" s="20" t="n">
        <x:f>'Fight Simulation'!E17</x:f>
        <x:v>0</x:v>
      </x:c>
      <x:c r="E19" s="20" t="n">
        <x:f>MEDIAN('Comparator Pool'!F99:F107)</x:f>
        <x:v>39554.219653179185</x:v>
      </x:c>
      <x:c r="F19" s="20" t="n">
        <x:f>MAX('Comparator Pool'!F99:F107)</x:f>
        <x:v>57177.406340057634</x:v>
      </x:c>
      <x:c r="G19" s="21" t="n">
        <x:f>IF(E19=0,0,D19/E19)</x:f>
        <x:v>0</x:v>
      </x:c>
      <x:c r="H19" s="18" t="str">
        <x:v>9 methods; ±3 levels</x:v>
      </x:c>
    </x:row>
    <x:row r="20">
      <x:c r="A20" s="18" t="str">
        <x:f>'Fight Simulation'!B18</x:f>
        <x:v>Fight Cave Trolls</x:v>
      </x:c>
      <x:c r="B20" s="19" t="n">
        <x:f>'Fight Simulation'!C18</x:f>
        <x:v>59</x:v>
      </x:c>
      <x:c r="C20" s="19" t="n">
        <x:f>'Fight Simulation'!D18</x:f>
        <x:v>79</x:v>
      </x:c>
      <x:c r="D20" s="20" t="n">
        <x:f>'Fight Simulation'!E18</x:f>
        <x:v>1078.8</x:v>
      </x:c>
      <x:c r="E20" s="20" t="n">
        <x:f>MEDIAN('Comparator Pool'!F108:F121)</x:f>
        <x:v>63753.846020367215</x:v>
      </x:c>
      <x:c r="F20" s="20" t="n">
        <x:f>MAX('Comparator Pool'!F108:F121)</x:f>
        <x:v>71866.7063197026</x:v>
      </x:c>
      <x:c r="G20" s="21" t="n">
        <x:f>IF(E20=0,0,D20/E20)</x:f>
        <x:v>0.01692133208175958</x:v>
      </x:c>
      <x:c r="H20" s="18" t="str">
        <x:v>14 methods; ±3 levels</x:v>
      </x:c>
    </x:row>
    <x:row r="21">
      <x:c r="A21" s="18" t="str">
        <x:f>'Fight Simulation'!B19</x:f>
        <x:v>Fight Cave Trolls</x:v>
      </x:c>
      <x:c r="B21" s="19" t="n">
        <x:f>'Fight Simulation'!C19</x:f>
        <x:v>59</x:v>
      </x:c>
      <x:c r="C21" s="19" t="n">
        <x:f>'Fight Simulation'!D19</x:f>
        <x:v>99</x:v>
      </x:c>
      <x:c r="D21" s="20" t="n">
        <x:f>'Fight Simulation'!E19</x:f>
        <x:v>8823.8</x:v>
      </x:c>
      <x:c r="E21" s="20" t="n">
        <x:f>MEDIAN('Comparator Pool'!F122:F122)</x:f>
        <x:v>439110.00000000006</x:v>
      </x:c>
      <x:c r="F21" s="20" t="n">
        <x:f>MAX('Comparator Pool'!F122:F122)</x:f>
        <x:v>439110.00000000006</x:v>
      </x:c>
      <x:c r="G21" s="21" t="n">
        <x:f>IF(E21=0,0,D21/E21)</x:f>
        <x:v>0.020094737081824597</x:v>
      </x:c>
      <x:c r="H21" s="18" t="str">
        <x:v>1 methods; nearest level (4)</x:v>
      </x:c>
    </x:row>
    <x:row r="22">
      <x:c r="A22" s="18" t="str">
        <x:f>'Fight Simulation'!B20</x:f>
        <x:v>Fight Giants</x:v>
      </x:c>
      <x:c r="B22" s="19" t="n">
        <x:f>'Fight Simulation'!C20</x:f>
        <x:v>74</x:v>
      </x:c>
      <x:c r="C22" s="19" t="n">
        <x:f>'Fight Simulation'!D20</x:f>
        <x:v>74</x:v>
      </x:c>
      <x:c r="D22" s="20" t="n">
        <x:f>'Fight Simulation'!E20</x:f>
        <x:v>0</x:v>
      </x:c>
      <x:c r="E22" s="20" t="n">
        <x:f>MEDIAN('Comparator Pool'!F123:F132)</x:f>
        <x:v>60262.68988041156</x:v>
      </x:c>
      <x:c r="F22" s="20" t="n">
        <x:f>MAX('Comparator Pool'!F123:F132)</x:f>
        <x:v>69677.2602739726</x:v>
      </x:c>
      <x:c r="G22" s="21" t="n">
        <x:f>IF(E22=0,0,D22/E22)</x:f>
        <x:v>0</x:v>
      </x:c>
      <x:c r="H22" s="18" t="str">
        <x:v>10 methods; ±3 levels</x:v>
      </x:c>
    </x:row>
    <x:row r="23">
      <x:c r="A23" s="18" t="str">
        <x:f>'Fight Simulation'!B21</x:f>
        <x:v>Fight Giants</x:v>
      </x:c>
      <x:c r="B23" s="19" t="n">
        <x:f>'Fight Simulation'!C21</x:f>
        <x:v>74</x:v>
      </x:c>
      <x:c r="C23" s="19" t="n">
        <x:f>'Fight Simulation'!D21</x:f>
        <x:v>87</x:v>
      </x:c>
      <x:c r="D23" s="20" t="n">
        <x:f>'Fight Simulation'!E21</x:f>
        <x:v>1882.5</x:v>
      </x:c>
      <x:c r="E23" s="20" t="n">
        <x:f>MEDIAN('Comparator Pool'!F133:F135)</x:f>
        <x:v>45171</x:v>
      </x:c>
      <x:c r="F23" s="20" t="n">
        <x:f>MAX('Comparator Pool'!F133:F135)</x:f>
        <x:v>377009.1</x:v>
      </x:c>
      <x:c r="G23" s="21" t="n">
        <x:f>IF(E23=0,0,D23/E23)</x:f>
        <x:v>0.04167496845321113</x:v>
      </x:c>
      <x:c r="H23" s="18" t="str">
        <x:v>3 methods; ±3 levels</x:v>
      </x:c>
    </x:row>
    <x:row r="24">
      <x:c r="A24" s="18" t="str">
        <x:f>'Fight Simulation'!B22</x:f>
        <x:v>Fight Giants</x:v>
      </x:c>
      <x:c r="B24" s="19" t="n">
        <x:f>'Fight Simulation'!C22</x:f>
        <x:v>74</x:v>
      </x:c>
      <x:c r="C24" s="19" t="n">
        <x:f>'Fight Simulation'!D22</x:f>
        <x:v>99</x:v>
      </x:c>
      <x:c r="D24" s="20" t="n">
        <x:f>'Fight Simulation'!E22</x:f>
        <x:v>7807.5</x:v>
      </x:c>
      <x:c r="E24" s="20" t="n">
        <x:f>MEDIAN('Comparator Pool'!F136:F136)</x:f>
        <x:v>439110.00000000006</x:v>
      </x:c>
      <x:c r="F24" s="20" t="n">
        <x:f>MAX('Comparator Pool'!F136:F136)</x:f>
        <x:v>439110.00000000006</x:v>
      </x:c>
      <x:c r="G24" s="21" t="n">
        <x:f>IF(E24=0,0,D24/E24)</x:f>
        <x:v>0.017780282844845254</x:v>
      </x:c>
      <x:c r="H24" s="18" t="str">
        <x:v>1 methods; nearest level (4)</x:v>
      </x:c>
    </x:row>
    <x:row r="25">
      <x:c r="A25" s="18" t="str">
        <x:f>'Fight Simulation'!B23</x:f>
        <x:v>Fight Vampires</x:v>
      </x:c>
      <x:c r="B25" s="19" t="n">
        <x:f>'Fight Simulation'!C23</x:f>
        <x:v>88</x:v>
      </x:c>
      <x:c r="C25" s="19" t="n">
        <x:f>'Fight Simulation'!D23</x:f>
        <x:v>88</x:v>
      </x:c>
      <x:c r="D25" s="20" t="n">
        <x:f>'Fight Simulation'!E23</x:f>
        <x:v>101.3</x:v>
      </x:c>
      <x:c r="E25" s="20" t="n">
        <x:f>MEDIAN('Comparator Pool'!F137:F139)</x:f>
        <x:v>45171</x:v>
      </x:c>
      <x:c r="F25" s="20" t="n">
        <x:f>MAX('Comparator Pool'!F137:F139)</x:f>
        <x:v>377009.1</x:v>
      </x:c>
      <x:c r="G25" s="21" t="n">
        <x:f>IF(E25=0,0,D25/E25)</x:f>
        <x:v>0.0022425892718779747</x:v>
      </x:c>
      <x:c r="H25" s="18" t="str">
        <x:v>3 methods; ±3 levels</x:v>
      </x:c>
    </x:row>
    <x:row r="26">
      <x:c r="A26" s="18" t="str">
        <x:f>'Fight Simulation'!B24</x:f>
        <x:v>Fight Vampires</x:v>
      </x:c>
      <x:c r="B26" s="19" t="n">
        <x:f>'Fight Simulation'!C24</x:f>
        <x:v>88</x:v>
      </x:c>
      <x:c r="C26" s="19" t="n">
        <x:f>'Fight Simulation'!D24</x:f>
        <x:v>94</x:v>
      </x:c>
      <x:c r="D26" s="20" t="n">
        <x:f>'Fight Simulation'!E24</x:f>
        <x:v>911.3</x:v>
      </x:c>
      <x:c r="E26" s="20" t="n">
        <x:f>MEDIAN('Comparator Pool'!F140:F140)</x:f>
        <x:v>439110.00000000006</x:v>
      </x:c>
      <x:c r="F26" s="20" t="n">
        <x:f>MAX('Comparator Pool'!F140:F140)</x:f>
        <x:v>439110.00000000006</x:v>
      </x:c>
      <x:c r="G26" s="21" t="n">
        <x:f>IF(E26=0,0,D26/E26)</x:f>
        <x:v>0.0020753341987201383</x:v>
      </x:c>
      <x:c r="H26" s="18" t="str">
        <x:v>1 methods; ±3 levels</x:v>
      </x:c>
    </x:row>
    <x:row r="27">
      <x:c r="A27" s="18" t="str">
        <x:f>'Fight Simulation'!B25</x:f>
        <x:v>Fight Vampires</x:v>
      </x:c>
      <x:c r="B27" s="19" t="n">
        <x:f>'Fight Simulation'!C25</x:f>
        <x:v>88</x:v>
      </x:c>
      <x:c r="C27" s="19" t="n">
        <x:f>'Fight Simulation'!D25</x:f>
        <x:v>99</x:v>
      </x:c>
      <x:c r="D27" s="20" t="n">
        <x:f>'Fight Simulation'!E25</x:f>
        <x:v>2311.3</x:v>
      </x:c>
      <x:c r="E27" s="20" t="n">
        <x:f>MEDIAN('Comparator Pool'!F141:F141)</x:f>
        <x:v>439110.00000000006</x:v>
      </x:c>
      <x:c r="F27" s="20" t="n">
        <x:f>MAX('Comparator Pool'!F141:F141)</x:f>
        <x:v>439110.00000000006</x:v>
      </x:c>
      <x:c r="G27" s="21" t="n">
        <x:f>IF(E27=0,0,D27/E27)</x:f>
        <x:v>0.005263601375509553</x:v>
      </x:c>
      <x:c r="H27" s="18" t="str">
        <x:v>1 methods; nearest level (4)</x:v>
      </x:c>
    </x:row>
    <x:row r="28">
      <x:c r="A28" s="18" t="str">
        <x:f>'Fight Simulation'!B26</x:f>
        <x:v>Fight Dragons</x:v>
      </x:c>
      <x:c r="B28" s="19" t="n">
        <x:f>'Fight Simulation'!C26</x:f>
        <x:v>98</x:v>
      </x:c>
      <x:c r="C28" s="19" t="n">
        <x:f>'Fight Simulation'!D26</x:f>
        <x:v>98</x:v>
      </x:c>
      <x:c r="D28" s="20" t="n">
        <x:f>'Fight Simulation'!E26</x:f>
        <x:v>3850</x:v>
      </x:c>
      <x:c r="E28" s="20" t="n">
        <x:f>MEDIAN('Comparator Pool'!F142:F142)</x:f>
        <x:v>439110.00000000006</x:v>
      </x:c>
      <x:c r="F28" s="20" t="n">
        <x:f>MAX('Comparator Pool'!F142:F142)</x:f>
        <x:v>439110.00000000006</x:v>
      </x:c>
      <x:c r="G28" s="21" t="n">
        <x:f>IF(E28=0,0,D28/E28)</x:f>
        <x:v>0.008767734736170889</x:v>
      </x:c>
      <x:c r="H28" s="18" t="str">
        <x:v>1 methods; ±3 levels</x:v>
      </x:c>
    </x:row>
    <x:row r="29">
      <x:c r="A29" s="22" t="str">
        <x:f>'Fight Simulation'!B27</x:f>
        <x:v>Fight Dragons</x:v>
      </x:c>
      <x:c r="B29" s="23" t="n">
        <x:f>'Fight Simulation'!C27</x:f>
        <x:v>98</x:v>
      </x:c>
      <x:c r="C29" s="23" t="n">
        <x:f>'Fight Simulation'!D27</x:f>
        <x:v>99</x:v>
      </x:c>
      <x:c r="D29" s="24" t="n">
        <x:f>'Fight Simulation'!E27</x:f>
        <x:v>4675</x:v>
      </x:c>
      <x:c r="E29" s="24" t="n">
        <x:f>MEDIAN('Comparator Pool'!F143:F143)</x:f>
        <x:v>439110.00000000006</x:v>
      </x:c>
      <x:c r="F29" s="24" t="n">
        <x:f>MAX('Comparator Pool'!F143:F143)</x:f>
        <x:v>439110.00000000006</x:v>
      </x:c>
      <x:c r="G29" s="25" t="n">
        <x:f>IF(E29=0,0,D29/E29)</x:f>
        <x:v>0.010646535036778938</x:v>
      </x:c>
      <x:c r="H29" s="22" t="str">
        <x:v>1 methods; nearest level (4)</x:v>
      </x:c>
    </x:row>
    <x:row r="31">
      <x:c r="A31" s="27" t="str">
        <x:v>Method</x:v>
      </x:c>
      <x:c r="B31" s="27"/>
      <x:c r="C31" s="27"/>
      <x:c r="D31" s="27"/>
      <x:c r="E31" s="27"/>
      <x:c r="F31" s="27"/>
      <x:c r="G31" s="27"/>
      <x:c r="H31" s="27"/>
    </x:row>
    <x:row r="32" ht="30" customHeight="1">
      <x:c r="A32" s="28" t="str">
        <x:v>Fight rates: 16 paired-seed simulations per level, 180 seconds each, diamond arena, including knock-out and area-clear restart time.</x:v>
      </x:c>
      <x:c r="B32" s="28"/>
      <x:c r="C32" s="28"/>
      <x:c r="D32" s="28"/>
      <x:c r="E32" s="28"/>
      <x:c r="F32" s="28"/>
      <x:c r="G32" s="28"/>
      <x:c r="H32" s="28"/>
    </x:row>
    <x:row r="33" ht="30" customHeight="1">
      <x:c r="A33" s="28" t="str">
        <x:v>Fight levels: unlock, midpoint between unlock and 99, and 99. Dragons have only levels 98 and 99.</x:v>
      </x:c>
      <x:c r="B33" s="28"/>
      <x:c r="C33" s="28"/>
      <x:c r="D33" s="28"/>
      <x:c r="E33" s="28"/>
      <x:c r="F33" s="28"/>
      <x:c r="G33" s="28"/>
      <x:c r="H33" s="28"/>
    </x:row>
    <x:row r="34" ht="30" customHeight="1">
      <x:c r="A34" s="28" t="str">
        <x:v>Skilling baseline: active non-fight modules only; configured XP × success ÷ seconds. Recovery, passive, event, stamina, streak, crit, medal, hub, ad, and global bonuses excluded.</x:v>
      </x:c>
      <x:c r="B34" s="28"/>
      <x:c r="C34" s="28"/>
      <x:c r="D34" s="28"/>
      <x:c r="E34" s="28"/>
      <x:c r="F34" s="28"/>
      <x:c r="G34" s="28"/>
      <x:c r="H34" s="28"/>
    </x:row>
    <x:row r="35" ht="30" customHeight="1">
      <x:c r="A35" s="28" t="str">
        <x:v>Fishing rows use configured card values; actual fishing rates vary with tool, location, and batch behavior.</x:v>
      </x:c>
      <x:c r="B35" s="28"/>
      <x:c r="C35" s="28"/>
      <x:c r="D35" s="28"/>
      <x:c r="E35" s="28"/>
      <x:c r="F35" s="28"/>
      <x:c r="G35" s="28"/>
      <x:c r="H35" s="28"/>
    </x:row>
    <x:row r="38">
      <x:c r="A38" s="4" t="str">
        <x:v>Unlock comparison</x:v>
      </x:c>
      <x:c r="B38" s="4" t="str">
        <x:v>Fight / skilling median</x:v>
      </x:c>
    </x:row>
    <x:row r="39">
      <x:c r="A39" t="str">
        <x:f>A4</x:f>
        <x:v>Fight Chickens</x:v>
      </x:c>
      <x:c r="B39" s="13" t="n">
        <x:f>G4</x:f>
        <x:v>0</x:v>
      </x:c>
    </x:row>
    <x:row r="40">
      <x:c r="A40" t="str">
        <x:f>A7</x:f>
        <x:v>Fight Goblins</x:v>
      </x:c>
      <x:c r="B40" s="13" t="n">
        <x:f>G7</x:f>
        <x:v>0</x:v>
      </x:c>
    </x:row>
    <x:row r="41">
      <x:c r="A41" t="str">
        <x:f>A10</x:f>
        <x:v>Fight R.O.U.S.es</x:v>
      </x:c>
      <x:c r="B41" s="13" t="n">
        <x:f>G10</x:f>
        <x:v>0</x:v>
      </x:c>
    </x:row>
    <x:row r="42">
      <x:c r="A42" t="str">
        <x:f>A13</x:f>
        <x:v>Fight Guys</x:v>
      </x:c>
      <x:c r="B42" s="13" t="n">
        <x:f>G13</x:f>
        <x:v>0.0003010461353202378</x:v>
      </x:c>
    </x:row>
    <x:row r="43">
      <x:c r="A43" t="str">
        <x:f>A16</x:f>
        <x:v>Fight Werewolves</x:v>
      </x:c>
      <x:c r="B43" s="13" t="n">
        <x:f>G16</x:f>
        <x:v>0</x:v>
      </x:c>
    </x:row>
    <x:row r="44">
      <x:c r="A44" t="str">
        <x:f>A19</x:f>
        <x:v>Fight Cave Trolls</x:v>
      </x:c>
      <x:c r="B44" s="13" t="n">
        <x:f>G19</x:f>
        <x:v>0</x:v>
      </x:c>
    </x:row>
    <x:row r="45">
      <x:c r="A45" t="str">
        <x:f>A22</x:f>
        <x:v>Fight Giants</x:v>
      </x:c>
      <x:c r="B45" s="13" t="n">
        <x:f>G22</x:f>
        <x:v>0</x:v>
      </x:c>
    </x:row>
    <x:row r="46">
      <x:c r="A46" t="str">
        <x:f>A25</x:f>
        <x:v>Fight Vampires</x:v>
      </x:c>
      <x:c r="B46" s="13" t="n">
        <x:f>G25</x:f>
        <x:v>0.0022425892718779747</x:v>
      </x:c>
    </x:row>
    <x:row r="47">
      <x:c r="A47" t="str">
        <x:f>A28</x:f>
        <x:v>Fight Dragons</x:v>
      </x:c>
      <x:c r="B47" s="13" t="n">
        <x:f>G28</x:f>
        <x:v>0.008767734736170889</x:v>
      </x:c>
    </x:row>
  </x:sheetData>
  <x:mergeCells>
    <x:mergeCell ref="A1:H1"/>
    <x:mergeCell ref="A31:H31"/>
    <x:mergeCell ref="A32:H32"/>
    <x:mergeCell ref="A33:H33"/>
    <x:mergeCell ref="A34:H34"/>
    <x:mergeCell ref="A35:H35"/>
  </x:mergeCells>
  <x:pageMargins left="0.7" right="0.7" top="0.75" bottom="0.75" header="0.3" footer="0.3"/>
  <x:drawing xmlns:r="http://schemas.openxmlformats.org/officeDocument/2006/relationships" r:id="R96fccb92adc045a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9.880000114440918" hidden="0" customWidth="1"/>
    <x:col min="4" max="4" width="10.630000114440918" hidden="0" customWidth="1"/>
    <x:col min="5" max="5" width="6.880000114440918" hidden="0" customWidth="1"/>
    <x:col min="6" max="6" width="13" hidden="0" customWidth="1"/>
    <x:col min="7" max="7" width="13.380000114440918" hidden="0" customWidth="1"/>
  </x:cols>
  <x:sheetData>
    <x:row r="1">
      <x:c r="A1" s="4" t="str">
        <x:v>Fight ID</x:v>
      </x:c>
      <x:c r="B1" s="4" t="str">
        <x:v>Fight</x:v>
      </x:c>
      <x:c r="C1" s="4" t="str">
        <x:v>Unlock level</x:v>
      </x:c>
      <x:c r="D1" s="4" t="str">
        <x:v>Fighting level</x:v>
      </x:c>
      <x:c r="E1" s="4" t="str">
        <x:v>XP/hour</x:v>
      </x:c>
      <x:c r="F1" s="4" t="str">
        <x:v>Player KOs/hour</x:v>
      </x:c>
      <x:c r="G1" s="4" t="str">
        <x:v>Area clears/hour</x:v>
      </x:c>
    </x:row>
    <x:row r="2">
      <x:c r="A2" t="str">
        <x:v>fight-chickens</x:v>
      </x:c>
      <x:c r="B2" t="str">
        <x:v>Fight Chickens</x:v>
      </x:c>
      <x:c r="C2" s="5" t="n">
        <x:v>5</x:v>
      </x:c>
      <x:c r="D2" s="5" t="n">
        <x:v>5</x:v>
      </x:c>
      <x:c r="E2" s="6" t="n">
        <x:v>0</x:v>
      </x:c>
      <x:c r="F2" s="6" t="n">
        <x:v>265</x:v>
      </x:c>
      <x:c r="G2" s="6" t="n">
        <x:v>0</x:v>
      </x:c>
    </x:row>
    <x:row r="3">
      <x:c r="A3" t="str">
        <x:v>fight-chickens</x:v>
      </x:c>
      <x:c r="B3" t="str">
        <x:v>Fight Chickens</x:v>
      </x:c>
      <x:c r="C3" s="5" t="n">
        <x:v>5</x:v>
      </x:c>
      <x:c r="D3" s="5" t="n">
        <x:v>52</x:v>
      </x:c>
      <x:c r="E3" s="6" t="n">
        <x:v>223.8</x:v>
      </x:c>
      <x:c r="F3" s="6" t="n">
        <x:v>71.25</x:v>
      </x:c>
      <x:c r="G3" s="6" t="n">
        <x:v>0</x:v>
      </x:c>
    </x:row>
    <x:row r="4">
      <x:c r="A4" t="str">
        <x:v>fight-chickens</x:v>
      </x:c>
      <x:c r="B4" t="str">
        <x:v>Fight Chickens</x:v>
      </x:c>
      <x:c r="C4" s="5" t="n">
        <x:v>5</x:v>
      </x:c>
      <x:c r="D4" s="5" t="n">
        <x:v>99</x:v>
      </x:c>
      <x:c r="E4" s="6" t="n">
        <x:v>647.5</x:v>
      </x:c>
      <x:c r="F4" s="6" t="n">
        <x:v>0</x:v>
      </x:c>
      <x:c r="G4" s="6" t="n">
        <x:v>80</x:v>
      </x:c>
    </x:row>
    <x:row r="5">
      <x:c r="A5" t="str">
        <x:v>fight-goblins</x:v>
      </x:c>
      <x:c r="B5" t="str">
        <x:v>Fight Goblins</x:v>
      </x:c>
      <x:c r="C5" s="5" t="n">
        <x:v>16</x:v>
      </x:c>
      <x:c r="D5" s="5" t="n">
        <x:v>16</x:v>
      </x:c>
      <x:c r="E5" s="6" t="n">
        <x:v>0</x:v>
      </x:c>
      <x:c r="F5" s="6" t="n">
        <x:v>323.75</x:v>
      </x:c>
      <x:c r="G5" s="6" t="n">
        <x:v>0</x:v>
      </x:c>
    </x:row>
    <x:row r="6">
      <x:c r="A6" t="str">
        <x:v>fight-goblins</x:v>
      </x:c>
      <x:c r="B6" t="str">
        <x:v>Fight Goblins</x:v>
      </x:c>
      <x:c r="C6" s="5" t="n">
        <x:v>16</x:v>
      </x:c>
      <x:c r="D6" s="5" t="n">
        <x:v>58</x:v>
      </x:c>
      <x:c r="E6" s="6" t="n">
        <x:v>1835</x:v>
      </x:c>
      <x:c r="F6" s="6" t="n">
        <x:v>0</x:v>
      </x:c>
      <x:c r="G6" s="6" t="n">
        <x:v>80</x:v>
      </x:c>
    </x:row>
    <x:row r="7">
      <x:c r="A7" t="str">
        <x:v>fight-goblins</x:v>
      </x:c>
      <x:c r="B7" t="str">
        <x:v>Fight Goblins</x:v>
      </x:c>
      <x:c r="C7" s="5" t="n">
        <x:v>16</x:v>
      </x:c>
      <x:c r="D7" s="5" t="n">
        <x:v>99</x:v>
      </x:c>
      <x:c r="E7" s="6" t="n">
        <x:v>2133.8</x:v>
      </x:c>
      <x:c r="F7" s="6" t="n">
        <x:v>0</x:v>
      </x:c>
      <x:c r="G7" s="6" t="n">
        <x:v>93.75</x:v>
      </x:c>
    </x:row>
    <x:row r="8">
      <x:c r="A8" t="str">
        <x:v>fight-r.o.u.s.es</x:v>
      </x:c>
      <x:c r="B8" t="str">
        <x:v>Fight R.O.U.S.es</x:v>
      </x:c>
      <x:c r="C8" s="5" t="n">
        <x:v>24</x:v>
      </x:c>
      <x:c r="D8" s="5" t="n">
        <x:v>24</x:v>
      </x:c>
      <x:c r="E8" s="6" t="n">
        <x:v>0</x:v>
      </x:c>
      <x:c r="F8" s="6" t="n">
        <x:v>365</x:v>
      </x:c>
      <x:c r="G8" s="6" t="n">
        <x:v>0</x:v>
      </x:c>
    </x:row>
    <x:row r="9">
      <x:c r="A9" t="str">
        <x:v>fight-r.o.u.s.es</x:v>
      </x:c>
      <x:c r="B9" t="str">
        <x:v>Fight R.O.U.S.es</x:v>
      </x:c>
      <x:c r="C9" s="5" t="n">
        <x:v>24</x:v>
      </x:c>
      <x:c r="D9" s="5" t="n">
        <x:v>62</x:v>
      </x:c>
      <x:c r="E9" s="6" t="n">
        <x:v>3208.8</x:v>
      </x:c>
      <x:c r="F9" s="6" t="n">
        <x:v>2.5</x:v>
      </x:c>
      <x:c r="G9" s="6" t="n">
        <x:v>78.75</x:v>
      </x:c>
    </x:row>
    <x:row r="10">
      <x:c r="A10" t="str">
        <x:v>fight-r.o.u.s.es</x:v>
      </x:c>
      <x:c r="B10" t="str">
        <x:v>Fight R.O.U.S.es</x:v>
      </x:c>
      <x:c r="C10" s="5" t="n">
        <x:v>24</x:v>
      </x:c>
      <x:c r="D10" s="5" t="n">
        <x:v>99</x:v>
      </x:c>
      <x:c r="E10" s="6" t="n">
        <x:v>3832.5</x:v>
      </x:c>
      <x:c r="F10" s="6" t="n">
        <x:v>0</x:v>
      </x:c>
      <x:c r="G10" s="6" t="n">
        <x:v>100</x:v>
      </x:c>
    </x:row>
    <x:row r="11">
      <x:c r="A11" t="str">
        <x:v>fight-guys</x:v>
      </x:c>
      <x:c r="B11" t="str">
        <x:v>Fight Guys</x:v>
      </x:c>
      <x:c r="C11" s="5" t="n">
        <x:v>32</x:v>
      </x:c>
      <x:c r="D11" s="5" t="n">
        <x:v>32</x:v>
      </x:c>
      <x:c r="E11" s="6" t="n">
        <x:v>10</x:v>
      </x:c>
      <x:c r="F11" s="6" t="n">
        <x:v>373.75</x:v>
      </x:c>
      <x:c r="G11" s="6" t="n">
        <x:v>0</x:v>
      </x:c>
    </x:row>
    <x:row r="12">
      <x:c r="A12" t="str">
        <x:v>fight-guys</x:v>
      </x:c>
      <x:c r="B12" t="str">
        <x:v>Fight Guys</x:v>
      </x:c>
      <x:c r="C12" s="5" t="n">
        <x:v>32</x:v>
      </x:c>
      <x:c r="D12" s="5" t="n">
        <x:v>66</x:v>
      </x:c>
      <x:c r="E12" s="6" t="n">
        <x:v>2637.5</x:v>
      </x:c>
      <x:c r="F12" s="6" t="n">
        <x:v>25</x:v>
      </x:c>
      <x:c r="G12" s="6" t="n">
        <x:v>31.25</x:v>
      </x:c>
    </x:row>
    <x:row r="13">
      <x:c r="A13" t="str">
        <x:v>fight-guys</x:v>
      </x:c>
      <x:c r="B13" t="str">
        <x:v>Fight Guys</x:v>
      </x:c>
      <x:c r="C13" s="5" t="n">
        <x:v>32</x:v>
      </x:c>
      <x:c r="D13" s="5" t="n">
        <x:v>99</x:v>
      </x:c>
      <x:c r="E13" s="6" t="n">
        <x:v>3435</x:v>
      </x:c>
      <x:c r="F13" s="6" t="n">
        <x:v>0</x:v>
      </x:c>
      <x:c r="G13" s="6" t="n">
        <x:v>57.5</x:v>
      </x:c>
    </x:row>
    <x:row r="14">
      <x:c r="A14" t="str">
        <x:v>fight-werewolves</x:v>
      </x:c>
      <x:c r="B14" t="str">
        <x:v>Fight Werewolves</x:v>
      </x:c>
      <x:c r="C14" s="5" t="n">
        <x:v>47</x:v>
      </x:c>
      <x:c r="D14" s="5" t="n">
        <x:v>47</x:v>
      </x:c>
      <x:c r="E14" s="6" t="n">
        <x:v>0</x:v>
      </x:c>
      <x:c r="F14" s="6" t="n">
        <x:v>277.5</x:v>
      </x:c>
      <x:c r="G14" s="6" t="n">
        <x:v>0</x:v>
      </x:c>
    </x:row>
    <x:row r="15">
      <x:c r="A15" t="str">
        <x:v>fight-werewolves</x:v>
      </x:c>
      <x:c r="B15" t="str">
        <x:v>Fight Werewolves</x:v>
      </x:c>
      <x:c r="C15" s="5" t="n">
        <x:v>47</x:v>
      </x:c>
      <x:c r="D15" s="5" t="n">
        <x:v>73</x:v>
      </x:c>
      <x:c r="E15" s="6" t="n">
        <x:v>1935</x:v>
      </x:c>
      <x:c r="F15" s="6" t="n">
        <x:v>142.5</x:v>
      </x:c>
      <x:c r="G15" s="6" t="n">
        <x:v>1.25</x:v>
      </x:c>
    </x:row>
    <x:row r="16">
      <x:c r="A16" t="str">
        <x:v>fight-werewolves</x:v>
      </x:c>
      <x:c r="B16" t="str">
        <x:v>Fight Werewolves</x:v>
      </x:c>
      <x:c r="C16" s="5" t="n">
        <x:v>47</x:v>
      </x:c>
      <x:c r="D16" s="5" t="n">
        <x:v>99</x:v>
      </x:c>
      <x:c r="E16" s="6" t="n">
        <x:v>8287.5</x:v>
      </x:c>
      <x:c r="F16" s="6" t="n">
        <x:v>0</x:v>
      </x:c>
      <x:c r="G16" s="6" t="n">
        <x:v>80</x:v>
      </x:c>
    </x:row>
    <x:row r="17">
      <x:c r="A17" t="str">
        <x:v>fight-cave-trolls</x:v>
      </x:c>
      <x:c r="B17" t="str">
        <x:v>Fight Cave Trolls</x:v>
      </x:c>
      <x:c r="C17" s="5" t="n">
        <x:v>59</x:v>
      </x:c>
      <x:c r="D17" s="5" t="n">
        <x:v>59</x:v>
      </x:c>
      <x:c r="E17" s="6" t="n">
        <x:v>0</x:v>
      </x:c>
      <x:c r="F17" s="6" t="n">
        <x:v>281.25</x:v>
      </x:c>
      <x:c r="G17" s="6" t="n">
        <x:v>0</x:v>
      </x:c>
    </x:row>
    <x:row r="18">
      <x:c r="A18" t="str">
        <x:v>fight-cave-trolls</x:v>
      </x:c>
      <x:c r="B18" t="str">
        <x:v>Fight Cave Trolls</x:v>
      </x:c>
      <x:c r="C18" s="5" t="n">
        <x:v>59</x:v>
      </x:c>
      <x:c r="D18" s="5" t="n">
        <x:v>79</x:v>
      </x:c>
      <x:c r="E18" s="6" t="n">
        <x:v>1078.8</x:v>
      </x:c>
      <x:c r="F18" s="6" t="n">
        <x:v>195</x:v>
      </x:c>
      <x:c r="G18" s="6" t="n">
        <x:v>0</x:v>
      </x:c>
    </x:row>
    <x:row r="19">
      <x:c r="A19" t="str">
        <x:v>fight-cave-trolls</x:v>
      </x:c>
      <x:c r="B19" t="str">
        <x:v>Fight Cave Trolls</x:v>
      </x:c>
      <x:c r="C19" s="5" t="n">
        <x:v>59</x:v>
      </x:c>
      <x:c r="D19" s="5" t="n">
        <x:v>99</x:v>
      </x:c>
      <x:c r="E19" s="6" t="n">
        <x:v>8823.8</x:v>
      </x:c>
      <x:c r="F19" s="6" t="n">
        <x:v>16.25</x:v>
      </x:c>
      <x:c r="G19" s="6" t="n">
        <x:v>56.25</x:v>
      </x:c>
    </x:row>
    <x:row r="20">
      <x:c r="A20" t="str">
        <x:v>fight-giants</x:v>
      </x:c>
      <x:c r="B20" t="str">
        <x:v>Fight Giants</x:v>
      </x:c>
      <x:c r="C20" s="5" t="n">
        <x:v>74</x:v>
      </x:c>
      <x:c r="D20" s="5" t="n">
        <x:v>74</x:v>
      </x:c>
      <x:c r="E20" s="6" t="n">
        <x:v>0</x:v>
      </x:c>
      <x:c r="F20" s="6" t="n">
        <x:v>200</x:v>
      </x:c>
      <x:c r="G20" s="6" t="n">
        <x:v>0</x:v>
      </x:c>
    </x:row>
    <x:row r="21">
      <x:c r="A21" t="str">
        <x:v>fight-giants</x:v>
      </x:c>
      <x:c r="B21" t="str">
        <x:v>Fight Giants</x:v>
      </x:c>
      <x:c r="C21" s="5" t="n">
        <x:v>74</x:v>
      </x:c>
      <x:c r="D21" s="5" t="n">
        <x:v>87</x:v>
      </x:c>
      <x:c r="E21" s="6" t="n">
        <x:v>1882.5</x:v>
      </x:c>
      <x:c r="F21" s="6" t="n">
        <x:v>126.25</x:v>
      </x:c>
      <x:c r="G21" s="6" t="n">
        <x:v>0</x:v>
      </x:c>
    </x:row>
    <x:row r="22">
      <x:c r="A22" t="str">
        <x:v>fight-giants</x:v>
      </x:c>
      <x:c r="B22" t="str">
        <x:v>Fight Giants</x:v>
      </x:c>
      <x:c r="C22" s="5" t="n">
        <x:v>74</x:v>
      </x:c>
      <x:c r="D22" s="5" t="n">
        <x:v>99</x:v>
      </x:c>
      <x:c r="E22" s="6" t="n">
        <x:v>7807.5</x:v>
      </x:c>
      <x:c r="F22" s="6" t="n">
        <x:v>63.75</x:v>
      </x:c>
      <x:c r="G22" s="6" t="n">
        <x:v>6.25</x:v>
      </x:c>
    </x:row>
    <x:row r="23">
      <x:c r="A23" t="str">
        <x:v>fight-vampires</x:v>
      </x:c>
      <x:c r="B23" t="str">
        <x:v>Fight Vampires</x:v>
      </x:c>
      <x:c r="C23" s="5" t="n">
        <x:v>88</x:v>
      </x:c>
      <x:c r="D23" s="5" t="n">
        <x:v>88</x:v>
      </x:c>
      <x:c r="E23" s="6" t="n">
        <x:v>101.3</x:v>
      </x:c>
      <x:c r="F23" s="6" t="n">
        <x:v>77.5</x:v>
      </x:c>
      <x:c r="G23" s="6" t="n">
        <x:v>0</x:v>
      </x:c>
    </x:row>
    <x:row r="24">
      <x:c r="A24" t="str">
        <x:v>fight-vampires</x:v>
      </x:c>
      <x:c r="B24" t="str">
        <x:v>Fight Vampires</x:v>
      </x:c>
      <x:c r="C24" s="5" t="n">
        <x:v>88</x:v>
      </x:c>
      <x:c r="D24" s="5" t="n">
        <x:v>94</x:v>
      </x:c>
      <x:c r="E24" s="6" t="n">
        <x:v>911.3</x:v>
      </x:c>
      <x:c r="F24" s="6" t="n">
        <x:v>58.75</x:v>
      </x:c>
      <x:c r="G24" s="6" t="n">
        <x:v>0</x:v>
      </x:c>
    </x:row>
    <x:row r="25">
      <x:c r="A25" t="str">
        <x:v>fight-vampires</x:v>
      </x:c>
      <x:c r="B25" t="str">
        <x:v>Fight Vampires</x:v>
      </x:c>
      <x:c r="C25" s="5" t="n">
        <x:v>88</x:v>
      </x:c>
      <x:c r="D25" s="5" t="n">
        <x:v>99</x:v>
      </x:c>
      <x:c r="E25" s="6" t="n">
        <x:v>2311.3</x:v>
      </x:c>
      <x:c r="F25" s="6" t="n">
        <x:v>41.25</x:v>
      </x:c>
      <x:c r="G25" s="6" t="n">
        <x:v>0</x:v>
      </x:c>
    </x:row>
    <x:row r="26">
      <x:c r="A26" t="str">
        <x:v>fight-dragons</x:v>
      </x:c>
      <x:c r="B26" t="str">
        <x:v>Fight Dragons</x:v>
      </x:c>
      <x:c r="C26" s="5" t="n">
        <x:v>98</x:v>
      </x:c>
      <x:c r="D26" s="5" t="n">
        <x:v>98</x:v>
      </x:c>
      <x:c r="E26" s="6" t="n">
        <x:v>3850</x:v>
      </x:c>
      <x:c r="F26" s="6" t="n">
        <x:v>136.25</x:v>
      </x:c>
      <x:c r="G26" s="6" t="n">
        <x:v>2.5</x:v>
      </x:c>
    </x:row>
    <x:row r="27">
      <x:c r="A27" t="str">
        <x:v>fight-dragons</x:v>
      </x:c>
      <x:c r="B27" t="str">
        <x:v>Fight Dragons</x:v>
      </x:c>
      <x:c r="C27" s="5" t="n">
        <x:v>98</x:v>
      </x:c>
      <x:c r="D27" s="5" t="n">
        <x:v>99</x:v>
      </x:c>
      <x:c r="E27" s="6" t="n">
        <x:v>4675</x:v>
      </x:c>
      <x:c r="F27" s="6" t="n">
        <x:v>127.5</x:v>
      </x:c>
      <x:c r="G27" s="6" t="n">
        <x:v>3.75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30000114440918" hidden="0" customWidth="1"/>
    <x:col min="2" max="2" width="28" hidden="0" customWidth="1"/>
    <x:col min="3" max="3" width="34" hidden="0" customWidth="1"/>
    <x:col min="4" max="4" width="13.75" hidden="0" customWidth="1"/>
    <x:col min="5" max="5" width="6.75" hidden="0" customWidth="1"/>
    <x:col min="6" max="6" width="5.630000114440918" hidden="0" customWidth="1"/>
    <x:col min="7" max="7" width="6.380000114440918" hidden="0" customWidth="1"/>
    <x:col min="8" max="8" width="15.630000114440918" hidden="0" customWidth="1"/>
  </x:cols>
  <x:sheetData>
    <x:row r="1">
      <x:c r="A1" s="4" t="str">
        <x:v>Skill</x:v>
      </x:c>
      <x:c r="B1" s="4" t="str">
        <x:v>Activity ID</x:v>
      </x:c>
      <x:c r="C1" s="4" t="str">
        <x:v>Activity</x:v>
      </x:c>
      <x:c r="D1" s="4" t="str">
        <x:v>Comparable level</x:v>
      </x:c>
      <x:c r="E1" s="4" t="str">
        <x:v>Seconds</x:v>
      </x:c>
      <x:c r="F1" s="4" t="str">
        <x:v>XP</x:v>
      </x:c>
      <x:c r="G1" s="4" t="str">
        <x:v>Success</x:v>
      </x:c>
      <x:c r="H1" s="4" t="str">
        <x:v>Configured XP/hour</x:v>
      </x:c>
    </x:row>
    <x:row r="2">
      <x:c r="A2" t="str">
        <x:v>Thieving</x:v>
      </x:c>
      <x:c r="B2" t="str">
        <x:v>borrow-cookie-permanently</x:v>
      </x:c>
      <x:c r="C2" t="str">
        <x:v>Borrow A Cookie Permanently</x:v>
      </x:c>
      <x:c r="D2" s="7" t="n">
        <x:v>1</x:v>
      </x:c>
      <x:c r="E2" s="7" t="n">
        <x:v>0.98</x:v>
      </x:c>
      <x:c r="F2" s="7" t="n">
        <x:v>1</x:v>
      </x:c>
      <x:c r="G2" s="8" t="n">
        <x:v>96.3</x:v>
      </x:c>
      <x:c r="H2" s="9" t="n">
        <x:f>F2*(G2/100)/E2*3600</x:f>
        <x:v>3537.5510204081634</x:v>
      </x:c>
    </x:row>
    <x:row r="3">
      <x:c r="A3" t="str">
        <x:v>Thieving</x:v>
      </x:c>
      <x:c r="B3" t="str">
        <x:v>sneak-past-tip-jar</x:v>
      </x:c>
      <x:c r="C3" t="str">
        <x:v>Sneak Past Tip Jar</x:v>
      </x:c>
      <x:c r="D3" s="7" t="n">
        <x:v>2</x:v>
      </x:c>
      <x:c r="E3" s="7" t="n">
        <x:v>1.15</x:v>
      </x:c>
      <x:c r="F3" s="7" t="n">
        <x:v>3</x:v>
      </x:c>
      <x:c r="G3" s="8" t="n">
        <x:v>95.9</x:v>
      </x:c>
      <x:c r="H3" s="9" t="n">
        <x:f>F3*(G3/100)/E3*3600</x:f>
        <x:v>9006.26086956522</x:v>
      </x:c>
    </x:row>
    <x:row r="4">
      <x:c r="A4" t="str">
        <x:v>Thieving</x:v>
      </x:c>
      <x:c r="B4" t="str">
        <x:v>pocket-couch-coins</x:v>
      </x:c>
      <x:c r="C4" t="str">
        <x:v>Pocket Couch Coins</x:v>
      </x:c>
      <x:c r="D4" s="7" t="n">
        <x:v>3</x:v>
      </x:c>
      <x:c r="E4" s="7" t="n">
        <x:v>1.15</x:v>
      </x:c>
      <x:c r="F4" s="7" t="n">
        <x:v>4</x:v>
      </x:c>
      <x:c r="G4" s="8" t="n">
        <x:v>94.4</x:v>
      </x:c>
      <x:c r="H4" s="9" t="n">
        <x:f>F4*(G4/100)/E4*3600</x:f>
        <x:v>11820.521739130436</x:v>
      </x:c>
    </x:row>
    <x:row r="5">
      <x:c r="A5" t="str">
        <x:v>Thieving</x:v>
      </x:c>
      <x:c r="B5" t="str">
        <x:v>chameleon-camouflage</x:v>
      </x:c>
      <x:c r="C5" t="str">
        <x:v>Chameleon Camouflage</x:v>
      </x:c>
      <x:c r="D5" s="7" t="n">
        <x:v>4</x:v>
      </x:c>
      <x:c r="E5" s="7" t="n">
        <x:v>1.3</x:v>
      </x:c>
      <x:c r="F5" s="7" t="n">
        <x:v>5</x:v>
      </x:c>
      <x:c r="G5" s="8" t="n">
        <x:v>93.6</x:v>
      </x:c>
      <x:c r="H5" s="9" t="n">
        <x:f>F5*(G5/100)/E5*3600</x:f>
        <x:v>12959.999999999998</x:v>
      </x:c>
    </x:row>
    <x:row r="6">
      <x:c r="A6" t="str">
        <x:v>Thieving</x:v>
      </x:c>
      <x:c r="B6" t="str">
        <x:v>steal-a-penny</x:v>
      </x:c>
      <x:c r="C6" t="str">
        <x:v>Steal A Penny</x:v>
      </x:c>
      <x:c r="D6" s="7" t="n">
        <x:v>5</x:v>
      </x:c>
      <x:c r="E6" s="7" t="n">
        <x:v>1.44</x:v>
      </x:c>
      <x:c r="F6" s="7" t="n">
        <x:v>6</x:v>
      </x:c>
      <x:c r="G6" s="8" t="n">
        <x:v>92.8</x:v>
      </x:c>
      <x:c r="H6" s="9" t="n">
        <x:f>F6*(G6/100)/E6*3600</x:f>
        <x:v>13920</x:v>
      </x:c>
    </x:row>
    <x:row r="7">
      <x:c r="A7" t="str">
        <x:v>Thieving</x:v>
      </x:c>
      <x:c r="B7" t="str">
        <x:v>jazz-hands-diversion</x:v>
      </x:c>
      <x:c r="C7" t="str">
        <x:v>Jazz Hands Diversion</x:v>
      </x:c>
      <x:c r="D7" s="7" t="n">
        <x:v>7</x:v>
      </x:c>
      <x:c r="E7" s="7" t="n">
        <x:v>1.49</x:v>
      </x:c>
      <x:c r="F7" s="7" t="n">
        <x:v>9</x:v>
      </x:c>
      <x:c r="G7" s="8" t="n">
        <x:v>92.6</x:v>
      </x:c>
      <x:c r="H7" s="9" t="n">
        <x:f>F7*(G7/100)/E7*3600</x:f>
        <x:v>20135.838926174496</x:v>
      </x:c>
    </x:row>
    <x:row r="8">
      <x:c r="A8" t="str">
        <x:v>Thieving</x:v>
      </x:c>
      <x:c r="B8" t="str">
        <x:v>pick-friendly-lock</x:v>
      </x:c>
      <x:c r="C8" t="str">
        <x:v>Pick Friendly Lock</x:v>
      </x:c>
      <x:c r="D8" s="7" t="n">
        <x:v>9</x:v>
      </x:c>
      <x:c r="E8" s="7" t="n">
        <x:v>1.82</x:v>
      </x:c>
      <x:c r="F8" s="7" t="n">
        <x:v>11</x:v>
      </x:c>
      <x:c r="G8" s="8" t="n">
        <x:v>92.4</x:v>
      </x:c>
      <x:c r="H8" s="9" t="n">
        <x:f>F8*(G8/100)/E8*3600</x:f>
        <x:v>20104.615384615383</x:v>
      </x:c>
    </x:row>
    <x:row r="9">
      <x:c r="A9" t="str">
        <x:v>Thieving</x:v>
      </x:c>
      <x:c r="B9" t="str">
        <x:v>loot-beehive</x:v>
      </x:c>
      <x:c r="C9" t="str">
        <x:v>Loot Beehive</x:v>
      </x:c>
      <x:c r="D9" s="7" t="n">
        <x:v>12</x:v>
      </x:c>
      <x:c r="E9" s="7" t="n">
        <x:v>1.98</x:v>
      </x:c>
      <x:c r="F9" s="7" t="n">
        <x:v>16</x:v>
      </x:c>
      <x:c r="G9" s="8" t="n">
        <x:v>88.9</x:v>
      </x:c>
      <x:c r="H9" s="9" t="n">
        <x:f>F9*(G9/100)/E9*3600</x:f>
        <x:v>25861.818181818184</x:v>
      </x:c>
    </x:row>
    <x:row r="10">
      <x:c r="A10" t="str">
        <x:v>Thieving</x:v>
      </x:c>
      <x:c r="B10" t="str">
        <x:v>swap-broom-price-tags</x:v>
      </x:c>
      <x:c r="C10" t="str">
        <x:v>Swap Broom Price Tags</x:v>
      </x:c>
      <x:c r="D10" s="7" t="n">
        <x:v>12</x:v>
      </x:c>
      <x:c r="E10" s="7" t="n">
        <x:v>1.91</x:v>
      </x:c>
      <x:c r="F10" s="7" t="n">
        <x:v>14</x:v>
      </x:c>
      <x:c r="G10" s="8" t="n">
        <x:v>90</x:v>
      </x:c>
      <x:c r="H10" s="9" t="n">
        <x:f>F10*(G10/100)/E10*3600</x:f>
        <x:v>23748.69109947644</x:v>
      </x:c>
    </x:row>
    <x:row r="11">
      <x:c r="A11" t="str">
        <x:v>Thieving</x:v>
      </x:c>
      <x:c r="B11" t="str">
        <x:v>steal-mannequin-wallet</x:v>
      </x:c>
      <x:c r="C11" t="str">
        <x:v>Steal Mannequin Wallet</x:v>
      </x:c>
      <x:c r="D11" s="7" t="n">
        <x:v>15</x:v>
      </x:c>
      <x:c r="E11" s="7" t="n">
        <x:v>2.24</x:v>
      </x:c>
      <x:c r="F11" s="7" t="n">
        <x:v>17</x:v>
      </x:c>
      <x:c r="G11" s="8" t="n">
        <x:v>87.4</x:v>
      </x:c>
      <x:c r="H11" s="9" t="n">
        <x:f>F11*(G11/100)/E11*3600</x:f>
        <x:v>23878.928571428572</x:v>
      </x:c>
    </x:row>
    <x:row r="12">
      <x:c r="A12" t="str">
        <x:v>Thieving</x:v>
      </x:c>
      <x:c r="B12" t="str">
        <x:v>rob-the-tiny-bank-desk</x:v>
      </x:c>
      <x:c r="C12" t="str">
        <x:v>Rob The Tiny Bank Desk</x:v>
      </x:c>
      <x:c r="D12" s="7" t="n">
        <x:v>18</x:v>
      </x:c>
      <x:c r="E12" s="7" t="n">
        <x:v>2.37</x:v>
      </x:c>
      <x:c r="F12" s="7" t="n">
        <x:v>21</x:v>
      </x:c>
      <x:c r="G12" s="8" t="n">
        <x:v>85.4</x:v>
      </x:c>
      <x:c r="H12" s="9" t="n">
        <x:f>F12*(G12/100)/E12*3600</x:f>
        <x:v>27241.518987341773</x:v>
      </x:c>
    </x:row>
    <x:row r="13">
      <x:c r="A13" t="str">
        <x:v>Thieving</x:v>
      </x:c>
      <x:c r="B13" t="str">
        <x:v>crack-snack-safe</x:v>
      </x:c>
      <x:c r="C13" t="str">
        <x:v>Crack Snack Safe</x:v>
      </x:c>
      <x:c r="D13" s="7" t="n">
        <x:v>22</x:v>
      </x:c>
      <x:c r="E13" s="7" t="n">
        <x:v>3.13</x:v>
      </x:c>
      <x:c r="F13" s="7" t="n">
        <x:v>27</x:v>
      </x:c>
      <x:c r="G13" s="8" t="n">
        <x:v>84.4</x:v>
      </x:c>
      <x:c r="H13" s="9" t="n">
        <x:f>F13*(G13/100)/E13*3600</x:f>
        <x:v>26209.840255591058</x:v>
      </x:c>
    </x:row>
    <x:row r="14">
      <x:c r="A14" t="str">
        <x:v>Thieving</x:v>
      </x:c>
      <x:c r="B14" t="str">
        <x:v>skip-taxes</x:v>
      </x:c>
      <x:c r="C14" t="str">
        <x:v>Skip Taxes</x:v>
      </x:c>
      <x:c r="D14" s="7" t="n">
        <x:v>26</x:v>
      </x:c>
      <x:c r="E14" s="7" t="n">
        <x:v>3.34</x:v>
      </x:c>
      <x:c r="F14" s="7" t="n">
        <x:v>34</x:v>
      </x:c>
      <x:c r="G14" s="8" t="n">
        <x:v>84</x:v>
      </x:c>
      <x:c r="H14" s="9" t="n">
        <x:f>F14*(G14/100)/E14*3600</x:f>
        <x:v>30783.23353293413</x:v>
      </x:c>
    </x:row>
    <x:row r="15">
      <x:c r="A15" t="str">
        <x:v>Thieving</x:v>
      </x:c>
      <x:c r="B15" t="str">
        <x:v>heist-the-museum-gift-shop</x:v>
      </x:c>
      <x:c r="C15" t="str">
        <x:v>Heist The Museum Gift Shop</x:v>
      </x:c>
      <x:c r="D15" s="7" t="n">
        <x:v>30</x:v>
      </x:c>
      <x:c r="E15" s="7" t="n">
        <x:v>3.84</x:v>
      </x:c>
      <x:c r="F15" s="7" t="n">
        <x:v>43</x:v>
      </x:c>
      <x:c r="G15" s="8" t="n">
        <x:v>82.4</x:v>
      </x:c>
      <x:c r="H15" s="9" t="n">
        <x:f>F15*(G15/100)/E15*3600</x:f>
        <x:v>33217.50000000001</x:v>
      </x:c>
    </x:row>
    <x:row r="16">
      <x:c r="A16" t="str">
        <x:v>Thieving</x:v>
      </x:c>
      <x:c r="B16" t="str">
        <x:v>scope-out-a-heist</x:v>
      </x:c>
      <x:c r="C16" t="str">
        <x:v>Scope Out A Heist</x:v>
      </x:c>
      <x:c r="D16" s="7" t="n">
        <x:v>34</x:v>
      </x:c>
      <x:c r="E16" s="7" t="n">
        <x:v>4</x:v>
      </x:c>
      <x:c r="F16" s="7" t="n">
        <x:v>52</x:v>
      </x:c>
      <x:c r="G16" s="8" t="n">
        <x:v>79.1</x:v>
      </x:c>
      <x:c r="H16" s="9" t="n">
        <x:f>F16*(G16/100)/E16*3600</x:f>
        <x:v>37018.799999999996</x:v>
      </x:c>
    </x:row>
    <x:row r="17">
      <x:c r="A17" t="str">
        <x:v>Thieving</x:v>
      </x:c>
      <x:c r="B17" t="str">
        <x:v>practice-cracking-vault</x:v>
      </x:c>
      <x:c r="C17" t="str">
        <x:v>Practice Cracking Vault</x:v>
      </x:c>
      <x:c r="D17" s="7" t="n">
        <x:v>35</x:v>
      </x:c>
      <x:c r="E17" s="7" t="n">
        <x:v>4.1</x:v>
      </x:c>
      <x:c r="F17" s="7" t="n">
        <x:v>58</x:v>
      </x:c>
      <x:c r="G17" s="8" t="n">
        <x:v>77.5</x:v>
      </x:c>
      <x:c r="H17" s="9" t="n">
        <x:f>F17*(G17/100)/E17*3600</x:f>
        <x:v>39468.29268292683</x:v>
      </x:c>
    </x:row>
    <x:row r="18">
      <x:c r="A18" t="str">
        <x:v>Thieving</x:v>
      </x:c>
      <x:c r="B18" t="str">
        <x:v>remove-competition</x:v>
      </x:c>
      <x:c r="C18" t="str">
        <x:v>Remove Competition</x:v>
      </x:c>
      <x:c r="D18" s="7" t="n">
        <x:v>40</x:v>
      </x:c>
      <x:c r="E18" s="7" t="n">
        <x:v>4.86</x:v>
      </x:c>
      <x:c r="F18" s="7" t="n">
        <x:v>72</x:v>
      </x:c>
      <x:c r="G18" s="8" t="n">
        <x:v>74.7</x:v>
      </x:c>
      <x:c r="H18" s="9" t="n">
        <x:f>F18*(G18/100)/E18*3600</x:f>
        <x:v>39840</x:v>
      </x:c>
    </x:row>
    <x:row r="19">
      <x:c r="A19" t="str">
        <x:v>Thieving</x:v>
      </x:c>
      <x:c r="B19" t="str">
        <x:v>steal-fishermans-lucky-hook</x:v>
      </x:c>
      <x:c r="C19" t="str">
        <x:v>Steal Fisherman's Lucky Hook</x:v>
      </x:c>
      <x:c r="D19" s="7" t="n">
        <x:v>42</x:v>
      </x:c>
      <x:c r="E19" s="7" t="n">
        <x:v>4.98</x:v>
      </x:c>
      <x:c r="F19" s="7" t="n">
        <x:v>81</x:v>
      </x:c>
      <x:c r="G19" s="8" t="n">
        <x:v>74.1</x:v>
      </x:c>
      <x:c r="H19" s="9" t="n">
        <x:f>F19*(G19/100)/E19*3600</x:f>
        <x:v>43388.67469879518</x:v>
      </x:c>
    </x:row>
    <x:row r="20">
      <x:c r="A20" t="str">
        <x:v>Thieving</x:v>
      </x:c>
      <x:c r="B20" t="str">
        <x:v>empty-the-banks-backup-bank</x:v>
      </x:c>
      <x:c r="C20" t="str">
        <x:v>Empty The Bank's Backup Bank</x:v>
      </x:c>
      <x:c r="D20" s="7" t="n">
        <x:v>45</x:v>
      </x:c>
      <x:c r="E20" s="7" t="n">
        <x:v>5.16</x:v>
      </x:c>
      <x:c r="F20" s="7" t="n">
        <x:v>91</x:v>
      </x:c>
      <x:c r="G20" s="8" t="n">
        <x:v>73.5</x:v>
      </x:c>
      <x:c r="H20" s="9" t="n">
        <x:f>F20*(G20/100)/E20*3600</x:f>
        <x:v>46663.9534883721</x:v>
      </x:c>
    </x:row>
    <x:row r="21">
      <x:c r="A21" t="str">
        <x:v>Thieving</x:v>
      </x:c>
      <x:c r="B21" t="str">
        <x:v>crack-the-shipwrights-lockbox</x:v>
      </x:c>
      <x:c r="C21" t="str">
        <x:v>Crack The Shipwright's Lockbox</x:v>
      </x:c>
      <x:c r="D21" s="7" t="n">
        <x:v>50</x:v>
      </x:c>
      <x:c r="E21" s="7" t="n">
        <x:v>5.65</x:v>
      </x:c>
      <x:c r="F21" s="7" t="n">
        <x:v>107</x:v>
      </x:c>
      <x:c r="G21" s="8" t="n">
        <x:v>72.4</x:v>
      </x:c>
      <x:c r="H21" s="9" t="n">
        <x:f>F21*(G21/100)/E21*3600</x:f>
        <x:v>49360.14159292036</x:v>
      </x:c>
    </x:row>
    <x:row r="22">
      <x:c r="A22" t="str">
        <x:v>Thieving</x:v>
      </x:c>
      <x:c r="B22" t="str">
        <x:v>steal-fortune-password</x:v>
      </x:c>
      <x:c r="C22" t="str">
        <x:v>Steal Fortune Password</x:v>
      </x:c>
      <x:c r="D22" s="7" t="n">
        <x:v>51</x:v>
      </x:c>
      <x:c r="E22" s="7" t="n">
        <x:v>5.82</x:v>
      </x:c>
      <x:c r="F22" s="7" t="n">
        <x:v>112</x:v>
      </x:c>
      <x:c r="G22" s="8" t="n">
        <x:v>72.2</x:v>
      </x:c>
      <x:c r="H22" s="9" t="n">
        <x:f>F22*(G22/100)/E22*3600</x:f>
        <x:v>50018.96907216495</x:v>
      </x:c>
    </x:row>
    <x:row r="23">
      <x:c r="A23" t="str">
        <x:v>Thieving</x:v>
      </x:c>
      <x:c r="B23" t="str">
        <x:v>pickpocket-camera</x:v>
      </x:c>
      <x:c r="C23" t="str">
        <x:v>Pickpocket Camera</x:v>
      </x:c>
      <x:c r="D23" s="7" t="n">
        <x:v>57</x:v>
      </x:c>
      <x:c r="E23" s="7" t="n">
        <x:v>6.21</x:v>
      </x:c>
      <x:c r="F23" s="7" t="n">
        <x:v>132</x:v>
      </x:c>
      <x:c r="G23" s="8" t="n">
        <x:v>69.8</x:v>
      </x:c>
      <x:c r="H23" s="9" t="n">
        <x:f>F23*(G23/100)/E23*3600</x:f>
        <x:v>53412.17391304348</x:v>
      </x:c>
    </x:row>
    <x:row r="24">
      <x:c r="A24" t="str">
        <x:v>Thieving</x:v>
      </x:c>
      <x:c r="B24" t="str">
        <x:v>hotwire-alien-ship</x:v>
      </x:c>
      <x:c r="C24" t="str">
        <x:v>Hotwire Alien Ship</x:v>
      </x:c>
      <x:c r="D24" s="7" t="n">
        <x:v>62</x:v>
      </x:c>
      <x:c r="E24" s="7" t="n">
        <x:v>7.05</x:v>
      </x:c>
      <x:c r="F24" s="7" t="n">
        <x:v>153</x:v>
      </x:c>
      <x:c r="G24" s="8" t="n">
        <x:v>66.7</x:v>
      </x:c>
      <x:c r="H24" s="9" t="n">
        <x:f>F24*(G24/100)/E24*3600</x:f>
        <x:v>52111.14893617021</x:v>
      </x:c>
    </x:row>
    <x:row r="25">
      <x:c r="A25" t="str">
        <x:v>Thieving</x:v>
      </x:c>
      <x:c r="B25" t="str">
        <x:v>rob-the-alien-spaceships-bank</x:v>
      </x:c>
      <x:c r="C25" t="str">
        <x:v>Rob The Alien Spaceship's Bank</x:v>
      </x:c>
      <x:c r="D25" s="7" t="n">
        <x:v>67</x:v>
      </x:c>
      <x:c r="E25" s="7" t="n">
        <x:v>7.31</x:v>
      </x:c>
      <x:c r="F25" s="7" t="n">
        <x:v>174</x:v>
      </x:c>
      <x:c r="G25" s="8" t="n">
        <x:v>62.3</x:v>
      </x:c>
      <x:c r="H25" s="9" t="n">
        <x:f>F25*(G25/100)/E25*3600</x:f>
        <x:v>53385.38987688099</x:v>
      </x:c>
    </x:row>
    <x:row r="26">
      <x:c r="A26" t="str">
        <x:v>Thieving</x:v>
      </x:c>
      <x:c r="B26" t="str">
        <x:v>forge-a-receipt-for-the-moon</x:v>
      </x:c>
      <x:c r="C26" t="str">
        <x:v>Forge A Receipt For The Moon</x:v>
      </x:c>
      <x:c r="D26" s="7" t="n">
        <x:v>71</x:v>
      </x:c>
      <x:c r="E26" s="7" t="n">
        <x:v>7.72</x:v>
      </x:c>
      <x:c r="F26" s="7" t="n">
        <x:v>202</x:v>
      </x:c>
      <x:c r="G26" s="8" t="n">
        <x:v>61.6</x:v>
      </x:c>
      <x:c r="H26" s="9" t="n">
        <x:f>F26*(G26/100)/E26*3600</x:f>
        <x:v>58025.284974093265</x:v>
      </x:c>
    </x:row>
    <x:row r="27">
      <x:c r="A27" t="str">
        <x:v>Thieving</x:v>
      </x:c>
      <x:c r="B27" t="str">
        <x:v>burgle-wizard-dream</x:v>
      </x:c>
      <x:c r="C27" t="str">
        <x:v>Burgle Wizard Dream</x:v>
      </x:c>
      <x:c r="D27" s="7" t="n">
        <x:v>74</x:v>
      </x:c>
      <x:c r="E27" s="7" t="n">
        <x:v>7.86</x:v>
      </x:c>
      <x:c r="F27" s="7" t="n">
        <x:v>223</x:v>
      </x:c>
      <x:c r="G27" s="8" t="n">
        <x:v>61.5</x:v>
      </x:c>
      <x:c r="H27" s="9" t="n">
        <x:f>F27*(G27/100)/E27*3600</x:f>
        <x:v>62814.50381679389</x:v>
      </x:c>
    </x:row>
    <x:row r="28">
      <x:c r="A28" t="str">
        <x:v>Thieving</x:v>
      </x:c>
      <x:c r="B28" t="str">
        <x:v>shoplift-from-money</x:v>
      </x:c>
      <x:c r="C28" t="str">
        <x:v>Shoplift From Money</x:v>
      </x:c>
      <x:c r="D28" s="7" t="n">
        <x:v>76</x:v>
      </x:c>
      <x:c r="E28" s="7" t="n">
        <x:v>8.44</x:v>
      </x:c>
      <x:c r="F28" s="7" t="n">
        <x:v>241</x:v>
      </x:c>
      <x:c r="G28" s="8" t="n">
        <x:v>60.8</x:v>
      </x:c>
      <x:c r="H28" s="9" t="n">
        <x:f>F28*(G28/100)/E28*3600</x:f>
        <x:v>62500.09478672986</x:v>
      </x:c>
    </x:row>
    <x:row r="29">
      <x:c r="A29" t="str">
        <x:v>Thieving</x:v>
      </x:c>
      <x:c r="B29" t="str">
        <x:v>crack-dimensional-vault</x:v>
      </x:c>
      <x:c r="C29" t="str">
        <x:v>Crack Dimensional Vault</x:v>
      </x:c>
      <x:c r="D29" s="7" t="n">
        <x:v>78</x:v>
      </x:c>
      <x:c r="E29" s="7" t="n">
        <x:v>8.49</x:v>
      </x:c>
      <x:c r="F29" s="7" t="n">
        <x:v>263</x:v>
      </x:c>
      <x:c r="G29" s="8" t="n">
        <x:v>58.8</x:v>
      </x:c>
      <x:c r="H29" s="9" t="n">
        <x:f>F29*(G29/100)/E29*3600</x:f>
        <x:v>65573.42756183745</x:v>
      </x:c>
    </x:row>
    <x:row r="30">
      <x:c r="A30" t="str">
        <x:v>Thieving</x:v>
      </x:c>
      <x:c r="B30" t="str">
        <x:v>pickpocket-dimensional-god</x:v>
      </x:c>
      <x:c r="C30" t="str">
        <x:v>Pickpocket Dimensional God</x:v>
      </x:c>
      <x:c r="D30" s="7" t="n">
        <x:v>79</x:v>
      </x:c>
      <x:c r="E30" s="7" t="n">
        <x:v>8.74</x:v>
      </x:c>
      <x:c r="F30" s="7" t="n">
        <x:v>274</x:v>
      </x:c>
      <x:c r="G30" s="8" t="n">
        <x:v>57.6</x:v>
      </x:c>
      <x:c r="H30" s="9" t="n">
        <x:f>F30*(G30/100)/E30*3600</x:f>
        <x:v>65007.59725400458</x:v>
      </x:c>
    </x:row>
    <x:row r="31">
      <x:c r="A31" t="str">
        <x:v>Thieving</x:v>
      </x:c>
      <x:c r="B31" t="str">
        <x:v>steal-your-alibi</x:v>
      </x:c>
      <x:c r="C31" t="str">
        <x:v>Steal Your Alibi</x:v>
      </x:c>
      <x:c r="D31" s="7" t="n">
        <x:v>80</x:v>
      </x:c>
      <x:c r="E31" s="7" t="n">
        <x:v>8.74</x:v>
      </x:c>
      <x:c r="F31" s="7" t="n">
        <x:v>289</x:v>
      </x:c>
      <x:c r="G31" s="8" t="n">
        <x:v>56.3</x:v>
      </x:c>
      <x:c r="H31" s="9" t="n">
        <x:f>F31*(G31/100)/E31*3600</x:f>
        <x:v>67018.90160183066</x:v>
      </x:c>
    </x:row>
    <x:row r="32">
      <x:c r="A32" t="str">
        <x:v>Building</x:v>
      </x:c>
      <x:c r="B32" t="str">
        <x:v>stack-bricks</x:v>
      </x:c>
      <x:c r="C32" t="str">
        <x:v>Stack Bricks</x:v>
      </x:c>
      <x:c r="D32" s="7" t="n">
        <x:v>1</x:v>
      </x:c>
      <x:c r="E32" s="7" t="n">
        <x:v>1.49</x:v>
      </x:c>
      <x:c r="F32" s="7" t="n">
        <x:v>1</x:v>
      </x:c>
      <x:c r="G32" s="8" t="n">
        <x:v>98</x:v>
      </x:c>
      <x:c r="H32" s="9" t="n">
        <x:f>F32*(G32/100)/E32*3600</x:f>
        <x:v>2367.7852348993288</x:v>
      </x:c>
    </x:row>
    <x:row r="33">
      <x:c r="A33" t="str">
        <x:v>Building</x:v>
      </x:c>
      <x:c r="B33" t="str">
        <x:v>hammer-nails</x:v>
      </x:c>
      <x:c r="C33" t="str">
        <x:v>Hammer Nails</x:v>
      </x:c>
      <x:c r="D33" s="7" t="n">
        <x:v>2</x:v>
      </x:c>
      <x:c r="E33" s="7" t="n">
        <x:v>1.71</x:v>
      </x:c>
      <x:c r="F33" s="7" t="n">
        <x:v>3</x:v>
      </x:c>
      <x:c r="G33" s="8" t="n">
        <x:v>98</x:v>
      </x:c>
      <x:c r="H33" s="9" t="n">
        <x:f>F33*(G33/100)/E33*3600</x:f>
        <x:v>6189.473684210527</x:v>
      </x:c>
    </x:row>
    <x:row r="34">
      <x:c r="A34" t="str">
        <x:v>Building</x:v>
      </x:c>
      <x:c r="B34" t="str">
        <x:v>patch-fence</x:v>
      </x:c>
      <x:c r="C34" t="str">
        <x:v>Patch Fence</x:v>
      </x:c>
      <x:c r="D34" s="7" t="n">
        <x:v>3</x:v>
      </x:c>
      <x:c r="E34" s="7" t="n">
        <x:v>1.82</x:v>
      </x:c>
      <x:c r="F34" s="7" t="n">
        <x:v>4</x:v>
      </x:c>
      <x:c r="G34" s="8" t="n">
        <x:v>97.7</x:v>
      </x:c>
      <x:c r="H34" s="9" t="n">
        <x:f>F34*(G34/100)/E34*3600</x:f>
        <x:v>7730.109890109889</x:v>
      </x:c>
    </x:row>
    <x:row r="35">
      <x:c r="A35" t="str">
        <x:v>Building</x:v>
      </x:c>
      <x:c r="B35" t="str">
        <x:v>saw-planks</x:v>
      </x:c>
      <x:c r="C35" t="str">
        <x:v>Saw Planks</x:v>
      </x:c>
      <x:c r="D35" s="7" t="n">
        <x:v>4</x:v>
      </x:c>
      <x:c r="E35" s="7" t="n">
        <x:v>1.86</x:v>
      </x:c>
      <x:c r="F35" s="7" t="n">
        <x:v>4</x:v>
      </x:c>
      <x:c r="G35" s="8" t="n">
        <x:v>97.5</x:v>
      </x:c>
      <x:c r="H35" s="9" t="n">
        <x:f>F35*(G35/100)/E35*3600</x:f>
        <x:v>7548.387096774193</x:v>
      </x:c>
    </x:row>
    <x:row r="36">
      <x:c r="A36" t="str">
        <x:v>Building</x:v>
      </x:c>
      <x:c r="B36" t="str">
        <x:v>study-blueprint</x:v>
      </x:c>
      <x:c r="C36" t="str">
        <x:v>Study Blueprint</x:v>
      </x:c>
      <x:c r="D36" s="7" t="n">
        <x:v>5</x:v>
      </x:c>
      <x:c r="E36" s="7" t="n">
        <x:v>2.04</x:v>
      </x:c>
      <x:c r="F36" s="7" t="n">
        <x:v>5</x:v>
      </x:c>
      <x:c r="G36" s="8" t="n">
        <x:v>96.5</x:v>
      </x:c>
      <x:c r="H36" s="9" t="n">
        <x:f>F36*(G36/100)/E36*3600</x:f>
        <x:v>8514.70588235294</x:v>
      </x:c>
    </x:row>
    <x:row r="37">
      <x:c r="A37" t="str">
        <x:v>Building</x:v>
      </x:c>
      <x:c r="B37" t="str">
        <x:v>repair-small-shack</x:v>
      </x:c>
      <x:c r="C37" t="str">
        <x:v>Repair Small Shack</x:v>
      </x:c>
      <x:c r="D37" s="7" t="n">
        <x:v>6</x:v>
      </x:c>
      <x:c r="E37" s="7" t="n">
        <x:v>2.3</x:v>
      </x:c>
      <x:c r="F37" s="7" t="n">
        <x:v>6</x:v>
      </x:c>
      <x:c r="G37" s="8" t="n">
        <x:v>95.5</x:v>
      </x:c>
      <x:c r="H37" s="9" t="n">
        <x:f>F37*(G37/100)/E37*3600</x:f>
        <x:v>8968.695652173914</x:v>
      </x:c>
    </x:row>
    <x:row r="38">
      <x:c r="A38" t="str">
        <x:v>Building</x:v>
      </x:c>
      <x:c r="B38" t="str">
        <x:v>install-door-that-mostly-opens</x:v>
      </x:c>
      <x:c r="C38" t="str">
        <x:v>Install Door That Mostly Opens</x:v>
      </x:c>
      <x:c r="D38" s="7" t="n">
        <x:v>8</x:v>
      </x:c>
      <x:c r="E38" s="7" t="n">
        <x:v>2.45</x:v>
      </x:c>
      <x:c r="F38" s="7" t="n">
        <x:v>9</x:v>
      </x:c>
      <x:c r="G38" s="8" t="n">
        <x:v>95.4</x:v>
      </x:c>
      <x:c r="H38" s="9" t="n">
        <x:f>F38*(G38/100)/E38*3600</x:f>
        <x:v>12616.163265306122</x:v>
      </x:c>
    </x:row>
    <x:row r="39">
      <x:c r="A39" t="str">
        <x:v>Building</x:v>
      </x:c>
      <x:c r="B39" t="str">
        <x:v>build-bridge-over-tiny-puddle</x:v>
      </x:c>
      <x:c r="C39" t="str">
        <x:v>Build Bridge Over Tiny Puddle</x:v>
      </x:c>
      <x:c r="D39" s="7" t="n">
        <x:v>11</x:v>
      </x:c>
      <x:c r="E39" s="7" t="n">
        <x:v>3.03</x:v>
      </x:c>
      <x:c r="F39" s="7" t="n">
        <x:v>15</x:v>
      </x:c>
      <x:c r="G39" s="8" t="n">
        <x:v>95.2</x:v>
      </x:c>
      <x:c r="H39" s="9" t="n">
        <x:f>F39*(G39/100)/E39*3600</x:f>
        <x:v>16966.33663366337</x:v>
      </x:c>
    </x:row>
    <x:row r="40">
      <x:c r="A40" t="str">
        <x:v>Building</x:v>
      </x:c>
      <x:c r="B40" t="str">
        <x:v>roof-the-roofless</x:v>
      </x:c>
      <x:c r="C40" t="str">
        <x:v>Roof The Roofless</x:v>
      </x:c>
      <x:c r="D40" s="7" t="n">
        <x:v>14</x:v>
      </x:c>
      <x:c r="E40" s="7" t="n">
        <x:v>3.28</x:v>
      </x:c>
      <x:c r="F40" s="7" t="n">
        <x:v>19</x:v>
      </x:c>
      <x:c r="G40" s="8" t="n">
        <x:v>92.5</x:v>
      </x:c>
      <x:c r="H40" s="9" t="n">
        <x:f>F40*(G40/100)/E40*3600</x:f>
        <x:v>19289.634146341465</x:v>
      </x:c>
    </x:row>
    <x:row r="41">
      <x:c r="A41" t="str">
        <x:v>Building</x:v>
      </x:c>
      <x:c r="B41" t="str">
        <x:v>frame-a-treehouse-platform</x:v>
      </x:c>
      <x:c r="C41" t="str">
        <x:v>Frame A Treehouse Platform</x:v>
      </x:c>
      <x:c r="D41" s="7" t="n">
        <x:v>16</x:v>
      </x:c>
      <x:c r="E41" s="7" t="n">
        <x:v>3.5</x:v>
      </x:c>
      <x:c r="F41" s="7" t="n">
        <x:v>24</x:v>
      </x:c>
      <x:c r="G41" s="8" t="n">
        <x:v>90.9</x:v>
      </x:c>
      <x:c r="H41" s="9" t="n">
        <x:f>F41*(G41/100)/E41*3600</x:f>
        <x:v>22439.31428571429</x:v>
      </x:c>
    </x:row>
    <x:row r="42">
      <x:c r="A42" t="str">
        <x:v>Building</x:v>
      </x:c>
      <x:c r="B42" t="str">
        <x:v>pour-questionable-foundation</x:v>
      </x:c>
      <x:c r="C42" t="str">
        <x:v>Pour Questionable Foundation</x:v>
      </x:c>
      <x:c r="D42" s="7" t="n">
        <x:v>17</x:v>
      </x:c>
      <x:c r="E42" s="7" t="n">
        <x:v>3.78</x:v>
      </x:c>
      <x:c r="F42" s="7" t="n">
        <x:v>29</x:v>
      </x:c>
      <x:c r="G42" s="8" t="n">
        <x:v>89.8</x:v>
      </x:c>
      <x:c r="H42" s="9" t="n">
        <x:f>F42*(G42/100)/E42*3600</x:f>
        <x:v>24801.904761904763</x:v>
      </x:c>
    </x:row>
    <x:row r="43">
      <x:c r="A43" t="str">
        <x:v>Building</x:v>
      </x:c>
      <x:c r="B43" t="str">
        <x:v>upgrade-training-yard</x:v>
      </x:c>
      <x:c r="C43" t="str">
        <x:v>Upgrade Training Yard</x:v>
      </x:c>
      <x:c r="D43" s="7" t="n">
        <x:v>21</x:v>
      </x:c>
      <x:c r="E43" s="7" t="n">
        <x:v>4.47</x:v>
      </x:c>
      <x:c r="F43" s="7" t="n">
        <x:v>37</x:v>
      </x:c>
      <x:c r="G43" s="8" t="n">
        <x:v>87.4</x:v>
      </x:c>
      <x:c r="H43" s="9" t="n">
        <x:f>F43*(G43/100)/E43*3600</x:f>
        <x:v>26044.026845637585</x:v>
      </x:c>
    </x:row>
    <x:row r="44">
      <x:c r="A44" t="str">
        <x:v>Building</x:v>
      </x:c>
      <x:c r="B44" t="str">
        <x:v>build-a-decoy-vault</x:v>
      </x:c>
      <x:c r="C44" t="str">
        <x:v>Build A Decoy Vault</x:v>
      </x:c>
      <x:c r="D44" s="7" t="n">
        <x:v>22</x:v>
      </x:c>
      <x:c r="E44" s="7" t="n">
        <x:v>4.72</x:v>
      </x:c>
      <x:c r="F44" s="7" t="n">
        <x:v>41</x:v>
      </x:c>
      <x:c r="G44" s="8" t="n">
        <x:v>86.7</x:v>
      </x:c>
      <x:c r="H44" s="9" t="n">
        <x:f>F44*(G44/100)/E44*3600</x:f>
        <x:v>27112.118644067796</x:v>
      </x:c>
    </x:row>
    <x:row r="45">
      <x:c r="A45" t="str">
        <x:v>Building</x:v>
      </x:c>
      <x:c r="B45" t="str">
        <x:v>construct-fishing-pier</x:v>
      </x:c>
      <x:c r="C45" t="str">
        <x:v>Construct Fishing Pier</x:v>
      </x:c>
      <x:c r="D45" s="7" t="n">
        <x:v>25</x:v>
      </x:c>
      <x:c r="E45" s="7" t="n">
        <x:v>5.18</x:v>
      </x:c>
      <x:c r="F45" s="7" t="n">
        <x:v>49</x:v>
      </x:c>
      <x:c r="G45" s="8" t="n">
        <x:v>86.5</x:v>
      </x:c>
      <x:c r="H45" s="9" t="n">
        <x:f>F45*(G45/100)/E45*3600</x:f>
        <x:v>29456.75675675676</x:v>
      </x:c>
    </x:row>
    <x:row r="46">
      <x:c r="A46" t="str">
        <x:v>Building</x:v>
      </x:c>
      <x:c r="B46" t="str">
        <x:v>raise-a-two-story-barn</x:v>
      </x:c>
      <x:c r="C46" t="str">
        <x:v>Raise A Two Story Barn</x:v>
      </x:c>
      <x:c r="D46" s="7" t="n">
        <x:v>29</x:v>
      </x:c>
      <x:c r="E46" s="7" t="n">
        <x:v>5.61</x:v>
      </x:c>
      <x:c r="F46" s="7" t="n">
        <x:v>64</x:v>
      </x:c>
      <x:c r="G46" s="8" t="n">
        <x:v>86.1</x:v>
      </x:c>
      <x:c r="H46" s="9" t="n">
        <x:f>F46*(G46/100)/E46*3600</x:f>
        <x:v>35360.85561497326</x:v>
      </x:c>
    </x:row>
    <x:row r="47">
      <x:c r="A47" t="str">
        <x:v>Building</x:v>
      </x:c>
      <x:c r="B47" t="str">
        <x:v>build-town-notice-board</x:v>
      </x:c>
      <x:c r="C47" t="str">
        <x:v>Build Town Notice Board</x:v>
      </x:c>
      <x:c r="D47" s="7" t="n">
        <x:v>34</x:v>
      </x:c>
      <x:c r="E47" s="7" t="n">
        <x:v>6.46</x:v>
      </x:c>
      <x:c r="F47" s="7" t="n">
        <x:v>83</x:v>
      </x:c>
      <x:c r="G47" s="8" t="n">
        <x:v>84.1</x:v>
      </x:c>
      <x:c r="H47" s="9" t="n">
        <x:f>F47*(G47/100)/E47*3600</x:f>
        <x:v>38899.50464396284</x:v>
      </x:c>
    </x:row>
    <x:row r="48">
      <x:c r="A48" t="str">
        <x:v>Building</x:v>
      </x:c>
      <x:c r="B48" t="str">
        <x:v>assemble-windmill</x:v>
      </x:c>
      <x:c r="C48" t="str">
        <x:v>Assemble Windmill</x:v>
      </x:c>
      <x:c r="D48" s="7" t="n">
        <x:v>39</x:v>
      </x:c>
      <x:c r="E48" s="7" t="n">
        <x:v>6.99</x:v>
      </x:c>
      <x:c r="F48" s="7" t="n">
        <x:v>106</x:v>
      </x:c>
      <x:c r="G48" s="8" t="n">
        <x:v>79.3</x:v>
      </x:c>
      <x:c r="H48" s="9" t="n">
        <x:f>F48*(G48/100)/E48*3600</x:f>
        <x:v>43291.673819742486</x:v>
      </x:c>
    </x:row>
    <x:row r="49">
      <x:c r="A49" t="str">
        <x:v>Building</x:v>
      </x:c>
      <x:c r="B49" t="str">
        <x:v>dig-emergency-basement</x:v>
      </x:c>
      <x:c r="C49" t="str">
        <x:v>Dig Emergency Basement</x:v>
      </x:c>
      <x:c r="D49" s="7" t="n">
        <x:v>44</x:v>
      </x:c>
      <x:c r="E49" s="7" t="n">
        <x:v>8.02</x:v>
      </x:c>
      <x:c r="F49" s="7" t="n">
        <x:v>132</x:v>
      </x:c>
      <x:c r="G49" s="8" t="n">
        <x:v>76.6</x:v>
      </x:c>
      <x:c r="H49" s="9" t="n">
        <x:f>F49*(G49/100)/E49*3600</x:f>
        <x:v>45386.932668329166</x:v>
      </x:c>
    </x:row>
    <x:row r="50">
      <x:c r="A50" t="str">
        <x:v>Building</x:v>
      </x:c>
      <x:c r="B50" t="str">
        <x:v>raise-guild-hall</x:v>
      </x:c>
      <x:c r="C50" t="str">
        <x:v>Raise Guild Hall</x:v>
      </x:c>
      <x:c r="D50" s="7" t="n">
        <x:v>49</x:v>
      </x:c>
      <x:c r="E50" s="7" t="n">
        <x:v>8.59</x:v>
      </x:c>
      <x:c r="F50" s="7" t="n">
        <x:v>159</x:v>
      </x:c>
      <x:c r="G50" s="8" t="n">
        <x:v>75.4</x:v>
      </x:c>
      <x:c r="H50" s="9" t="n">
        <x:f>F50*(G50/100)/E50*3600</x:f>
        <x:v>50243.25960419091</x:v>
      </x:c>
    </x:row>
    <x:row r="51">
      <x:c r="A51" t="str">
        <x:v>Building</x:v>
      </x:c>
      <x:c r="B51" t="str">
        <x:v>build-market-stall</x:v>
      </x:c>
      <x:c r="C51" t="str">
        <x:v>Build Market Stall</x:v>
      </x:c>
      <x:c r="D51" s="7" t="n">
        <x:v>55</x:v>
      </x:c>
      <x:c r="E51" s="7" t="n">
        <x:v>9.58</x:v>
      </x:c>
      <x:c r="F51" s="7" t="n">
        <x:v>191</x:v>
      </x:c>
      <x:c r="G51" s="8" t="n">
        <x:v>74.2</x:v>
      </x:c>
      <x:c r="H51" s="9" t="n">
        <x:f>F51*(G51/100)/E51*3600</x:f>
        <x:v>53256.701461377874</x:v>
      </x:c>
    </x:row>
    <x:row r="52">
      <x:c r="A52" t="str">
        <x:v>Building</x:v>
      </x:c>
      <x:c r="B52" t="str">
        <x:v>build-tall-silo</x:v>
      </x:c>
      <x:c r="C52" t="str">
        <x:v>Build Tall Silo</x:v>
      </x:c>
      <x:c r="D52" s="7" t="n">
        <x:v>60</x:v>
      </x:c>
      <x:c r="E52" s="7" t="n">
        <x:v>10.41</x:v>
      </x:c>
      <x:c r="F52" s="7" t="n">
        <x:v>229</x:v>
      </x:c>
      <x:c r="G52" s="8" t="n">
        <x:v>72.2</x:v>
      </x:c>
      <x:c r="H52" s="9" t="n">
        <x:f>F52*(G52/100)/E52*3600</x:f>
        <x:v>57177.406340057634</x:v>
      </x:c>
    </x:row>
    <x:row r="53">
      <x:c r="A53" t="str">
        <x:v>Building</x:v>
      </x:c>
      <x:c r="B53" t="str">
        <x:v>install-elevator</x:v>
      </x:c>
      <x:c r="C53" t="str">
        <x:v>Install Elevator</x:v>
      </x:c>
      <x:c r="D53" s="7" t="n">
        <x:v>65</x:v>
      </x:c>
      <x:c r="E53" s="7" t="n">
        <x:v>11.26</x:v>
      </x:c>
      <x:c r="F53" s="7" t="n">
        <x:v>266</x:v>
      </x:c>
      <x:c r="G53" s="8" t="n">
        <x:v>69.1</x:v>
      </x:c>
      <x:c r="H53" s="9" t="n">
        <x:f>F53*(G53/100)/E53*3600</x:f>
        <x:v>58765.68383658969</x:v>
      </x:c>
    </x:row>
    <x:row r="54">
      <x:c r="A54" t="str">
        <x:v>Building</x:v>
      </x:c>
      <x:c r="B54" t="str">
        <x:v>build-elite-tower</x:v>
      </x:c>
      <x:c r="C54" t="str">
        <x:v>Build Elite Tower</x:v>
      </x:c>
      <x:c r="D54" s="7" t="n">
        <x:v>70</x:v>
      </x:c>
      <x:c r="E54" s="7" t="n">
        <x:v>11.79</x:v>
      </x:c>
      <x:c r="F54" s="7" t="n">
        <x:v>312</x:v>
      </x:c>
      <x:c r="G54" s="8" t="n">
        <x:v>64.7</x:v>
      </x:c>
      <x:c r="H54" s="9" t="n">
        <x:f>F54*(G54/100)/E54*3600</x:f>
        <x:v>61637.86259541986</x:v>
      </x:c>
    </x:row>
    <x:row r="55">
      <x:c r="A55" t="str">
        <x:v>Building</x:v>
      </x:c>
      <x:c r="B55" t="str">
        <x:v>add-second-elite-tower-on-top</x:v>
      </x:c>
      <x:c r="C55" t="str">
        <x:v>Add Second Elite Tower On Top</x:v>
      </x:c>
      <x:c r="D55" s="7" t="n">
        <x:v>73</x:v>
      </x:c>
      <x:c r="E55" s="7" t="n">
        <x:v>12.28</x:v>
      </x:c>
      <x:c r="F55" s="7" t="n">
        <x:v>349</x:v>
      </x:c>
      <x:c r="G55" s="8" t="n">
        <x:v>64.4</x:v>
      </x:c>
      <x:c r="H55" s="9" t="n">
        <x:f>F55*(G55/100)/E55*3600</x:f>
        <x:v>65889.38110749186</x:v>
      </x:c>
    </x:row>
    <x:row r="56">
      <x:c r="A56" t="str">
        <x:v>Building</x:v>
      </x:c>
      <x:c r="B56" t="str">
        <x:v>construct-underground-town</x:v>
      </x:c>
      <x:c r="C56" t="str">
        <x:v>Construct Underground Town</x:v>
      </x:c>
      <x:c r="D56" s="7" t="n">
        <x:v>75</x:v>
      </x:c>
      <x:c r="E56" s="7" t="n">
        <x:v>12.7</x:v>
      </x:c>
      <x:c r="F56" s="7" t="n">
        <x:v>376</x:v>
      </x:c>
      <x:c r="G56" s="8" t="n">
        <x:v>64.3</x:v>
      </x:c>
      <x:c r="H56" s="9" t="n">
        <x:f>F56*(G56/100)/E56*3600</x:f>
        <x:v>68532.66141732284</x:v>
      </x:c>
    </x:row>
    <x:row r="57">
      <x:c r="A57" t="str">
        <x:v>Building</x:v>
      </x:c>
      <x:c r="B57" t="str">
        <x:v>build-weatherproof-weather</x:v>
      </x:c>
      <x:c r="C57" t="str">
        <x:v>Build Weatherproof Weather</x:v>
      </x:c>
      <x:c r="D57" s="7" t="n">
        <x:v>77</x:v>
      </x:c>
      <x:c r="E57" s="7" t="n">
        <x:v>13.14</x:v>
      </x:c>
      <x:c r="F57" s="7" t="n">
        <x:v>398</x:v>
      </x:c>
      <x:c r="G57" s="8" t="n">
        <x:v>63.9</x:v>
      </x:c>
      <x:c r="H57" s="9" t="n">
        <x:f>F57*(G57/100)/E57*3600</x:f>
        <x:v>69677.2602739726</x:v>
      </x:c>
    </x:row>
    <x:row r="58">
      <x:c r="A58" t="str">
        <x:v>Building</x:v>
      </x:c>
      <x:c r="B58" t="str">
        <x:v>renovate-the-horizon</x:v>
      </x:c>
      <x:c r="C58" t="str">
        <x:v>Renovate The Horizon</x:v>
      </x:c>
      <x:c r="D58" s="7" t="n">
        <x:v>78</x:v>
      </x:c>
      <x:c r="E58" s="7" t="n">
        <x:v>13.15</x:v>
      </x:c>
      <x:c r="F58" s="7" t="n">
        <x:v>411</x:v>
      </x:c>
      <x:c r="G58" s="8" t="n">
        <x:v>62.3</x:v>
      </x:c>
      <x:c r="H58" s="9" t="n">
        <x:f>F58*(G58/100)/E58*3600</x:f>
        <x:v>70098.15969581748</x:v>
      </x:c>
    </x:row>
    <x:row r="59">
      <x:c r="A59" t="str">
        <x:v>Building</x:v>
      </x:c>
      <x:c r="B59" t="str">
        <x:v>permit-mega-structure</x:v>
      </x:c>
      <x:c r="C59" t="str">
        <x:v>Permit Mega Structure</x:v>
      </x:c>
      <x:c r="D59" s="7" t="n">
        <x:v>79</x:v>
      </x:c>
      <x:c r="E59" s="7" t="n">
        <x:v>13.45</x:v>
      </x:c>
      <x:c r="F59" s="7" t="n">
        <x:v>427</x:v>
      </x:c>
      <x:c r="G59" s="8" t="n">
        <x:v>61.1</x:v>
      </x:c>
      <x:c r="H59" s="9" t="n">
        <x:f>F59*(G59/100)/E59*3600</x:f>
        <x:v>69831.16728624536</x:v>
      </x:c>
    </x:row>
    <x:row r="60">
      <x:c r="A60" t="str">
        <x:v>Building</x:v>
      </x:c>
      <x:c r="B60" t="str">
        <x:v>build-builder-building</x:v>
      </x:c>
      <x:c r="C60" t="str">
        <x:v>Build Builder Building</x:v>
      </x:c>
      <x:c r="D60" s="7" t="n">
        <x:v>80</x:v>
      </x:c>
      <x:c r="E60" s="7" t="n">
        <x:v>13.45</x:v>
      </x:c>
      <x:c r="F60" s="7" t="n">
        <x:v>449</x:v>
      </x:c>
      <x:c r="G60" s="8" t="n">
        <x:v>59.8</x:v>
      </x:c>
      <x:c r="H60" s="9" t="n">
        <x:f>F60*(G60/100)/E60*3600</x:f>
        <x:v>71866.7063197026</x:v>
      </x:c>
    </x:row>
    <x:row r="61">
      <x:c r="A61" t="str">
        <x:v>Woodcutting</x:v>
      </x:c>
      <x:c r="B61" t="str">
        <x:v>gather-fallen-branches</x:v>
      </x:c>
      <x:c r="C61" t="str">
        <x:v>Gather Fallen Branches</x:v>
      </x:c>
      <x:c r="D61" s="7" t="n">
        <x:v>1</x:v>
      </x:c>
      <x:c r="E61" s="7" t="n">
        <x:v>1.26</x:v>
      </x:c>
      <x:c r="F61" s="7" t="n">
        <x:v>1</x:v>
      </x:c>
      <x:c r="G61" s="8" t="n">
        <x:v>98</x:v>
      </x:c>
      <x:c r="H61" s="9" t="n">
        <x:f>F61*(G61/100)/E61*3600</x:f>
        <x:v>2800</x:v>
      </x:c>
    </x:row>
    <x:row r="62">
      <x:c r="A62" t="str">
        <x:v>Woodcutting</x:v>
      </x:c>
      <x:c r="B62" t="str">
        <x:v>snap-a-twig-with-purpose</x:v>
      </x:c>
      <x:c r="C62" t="str">
        <x:v>Snap A Twig With Purpose</x:v>
      </x:c>
      <x:c r="D62" s="7" t="n">
        <x:v>3</x:v>
      </x:c>
      <x:c r="E62" s="7" t="n">
        <x:v>1.57</x:v>
      </x:c>
      <x:c r="F62" s="7" t="n">
        <x:v>3</x:v>
      </x:c>
      <x:c r="G62" s="8" t="n">
        <x:v>98</x:v>
      </x:c>
      <x:c r="H62" s="9" t="n">
        <x:f>F62*(G62/100)/E62*3600</x:f>
        <x:v>6741.40127388535</x:v>
      </x:c>
    </x:row>
    <x:row r="63">
      <x:c r="A63" t="str">
        <x:v>Woodcutting</x:v>
      </x:c>
      <x:c r="B63" t="str">
        <x:v>split-firewood</x:v>
      </x:c>
      <x:c r="C63" t="str">
        <x:v>Split Firewood</x:v>
      </x:c>
      <x:c r="D63" s="7" t="n">
        <x:v>4</x:v>
      </x:c>
      <x:c r="E63" s="7" t="n">
        <x:v>1.57</x:v>
      </x:c>
      <x:c r="F63" s="7" t="n">
        <x:v>4</x:v>
      </x:c>
      <x:c r="G63" s="8" t="n">
        <x:v>97</x:v>
      </x:c>
      <x:c r="H63" s="9" t="n">
        <x:f>F63*(G63/100)/E63*3600</x:f>
        <x:v>8896.815286624204</x:v>
      </x:c>
    </x:row>
    <x:row r="64">
      <x:c r="A64" t="str">
        <x:v>Woodcutting</x:v>
      </x:c>
      <x:c r="B64" t="str">
        <x:v>trim-overconfident-shrub</x:v>
      </x:c>
      <x:c r="C64" t="str">
        <x:v>Trim Overconfident Shrub</x:v>
      </x:c>
      <x:c r="D64" s="7" t="n">
        <x:v>6</x:v>
      </x:c>
      <x:c r="E64" s="7" t="n">
        <x:v>1.94</x:v>
      </x:c>
      <x:c r="F64" s="7" t="n">
        <x:v>6</x:v>
      </x:c>
      <x:c r="G64" s="8" t="n">
        <x:v>95.4</x:v>
      </x:c>
      <x:c r="H64" s="9" t="n">
        <x:f>F64*(G64/100)/E64*3600</x:f>
        <x:v>10621.855670103094</x:v>
      </x:c>
    </x:row>
    <x:row r="65">
      <x:c r="A65" t="str">
        <x:v>Woodcutting</x:v>
      </x:c>
      <x:c r="B65" t="str">
        <x:v>chop-softwood-tree</x:v>
      </x:c>
      <x:c r="C65" t="str">
        <x:v>Chop Softwood Tree</x:v>
      </x:c>
      <x:c r="D65" s="7" t="n">
        <x:v>8</x:v>
      </x:c>
      <x:c r="E65" s="7" t="n">
        <x:v>2.05</x:v>
      </x:c>
      <x:c r="F65" s="7" t="n">
        <x:v>9</x:v>
      </x:c>
      <x:c r="G65" s="8" t="n">
        <x:v>95.2</x:v>
      </x:c>
      <x:c r="H65" s="9" t="n">
        <x:f>F65*(G65/100)/E65*3600</x:f>
        <x:v>15046.243902439028</x:v>
      </x:c>
    </x:row>
    <x:row r="66">
      <x:c r="A66" t="str">
        <x:v>Woodcutting</x:v>
      </x:c>
      <x:c r="B66" t="str">
        <x:v>prune-orchard-row</x:v>
      </x:c>
      <x:c r="C66" t="str">
        <x:v>Prune Orchard Row</x:v>
      </x:c>
      <x:c r="D66" s="7" t="n">
        <x:v>13</x:v>
      </x:c>
      <x:c r="E66" s="7" t="n">
        <x:v>2.61</x:v>
      </x:c>
      <x:c r="F66" s="7" t="n">
        <x:v>14</x:v>
      </x:c>
      <x:c r="G66" s="8" t="n">
        <x:v>92.7</x:v>
      </x:c>
      <x:c r="H66" s="9" t="n">
        <x:f>F66*(G66/100)/E66*3600</x:f>
        <x:v>17900.689655172417</x:v>
      </x:c>
    </x:row>
    <x:row r="67">
      <x:c r="A67" t="str">
        <x:v>Woodcutting</x:v>
      </x:c>
      <x:c r="B67" t="str">
        <x:v>fell-skinny-pine</x:v>
      </x:c>
      <x:c r="C67" t="str">
        <x:v>Fell Skinny Pine</x:v>
      </x:c>
      <x:c r="D67" s="7" t="n">
        <x:v>15</x:v>
      </x:c>
      <x:c r="E67" s="7" t="n">
        <x:v>2.82</x:v>
      </x:c>
      <x:c r="F67" s="7" t="n">
        <x:v>16</x:v>
      </x:c>
      <x:c r="G67" s="8" t="n">
        <x:v>91.4</x:v>
      </x:c>
      <x:c r="H67" s="9" t="n">
        <x:f>F67*(G67/100)/E67*3600</x:f>
        <x:v>18668.936170212768</x:v>
      </x:c>
    </x:row>
    <x:row r="68">
      <x:c r="A68" t="str">
        <x:v>Woodcutting</x:v>
      </x:c>
      <x:c r="B68" t="str">
        <x:v>chop-knotty-maple</x:v>
      </x:c>
      <x:c r="C68" t="str">
        <x:v>Chop Knotty Maple</x:v>
      </x:c>
      <x:c r="D68" s="7" t="n">
        <x:v>16</x:v>
      </x:c>
      <x:c r="E68" s="7" t="n">
        <x:v>3.02</x:v>
      </x:c>
      <x:c r="F68" s="7" t="n">
        <x:v>18</x:v>
      </x:c>
      <x:c r="G68" s="8" t="n">
        <x:v>90.1</x:v>
      </x:c>
      <x:c r="H68" s="9" t="n">
        <x:f>F68*(G68/100)/E68*3600</x:f>
        <x:v>19332.71523178808</x:v>
      </x:c>
    </x:row>
    <x:row r="69">
      <x:c r="A69" t="str">
        <x:v>Woodcutting</x:v>
      </x:c>
      <x:c r="B69" t="str">
        <x:v>clear-dense-grove</x:v>
      </x:c>
      <x:c r="C69" t="str">
        <x:v>Clear Dense Grove</x:v>
      </x:c>
      <x:c r="D69" s="7" t="n">
        <x:v>24</x:v>
      </x:c>
      <x:c r="E69" s="7" t="n">
        <x:v>4.22</x:v>
      </x:c>
      <x:c r="F69" s="7" t="n">
        <x:v>29</x:v>
      </x:c>
      <x:c r="G69" s="8" t="n">
        <x:v>86.9</x:v>
      </x:c>
      <x:c r="H69" s="9" t="n">
        <x:f>F69*(G69/100)/E69*3600</x:f>
        <x:v>21498.48341232228</x:v>
      </x:c>
    </x:row>
    <x:row r="70">
      <x:c r="A70" t="str">
        <x:v>Woodcutting</x:v>
      </x:c>
      <x:c r="B70" t="str">
        <x:v>fell-oak-tree</x:v>
      </x:c>
      <x:c r="C70" t="str">
        <x:v>Fell Oak Tree</x:v>
      </x:c>
      <x:c r="D70" s="7" t="n">
        <x:v>26</x:v>
      </x:c>
      <x:c r="E70" s="7" t="n">
        <x:v>4.38</x:v>
      </x:c>
      <x:c r="F70" s="7" t="n">
        <x:v>34</x:v>
      </x:c>
      <x:c r="G70" s="8" t="n">
        <x:v>86.6</x:v>
      </x:c>
      <x:c r="H70" s="9" t="n">
        <x:f>F70*(G70/100)/E70*3600</x:f>
        <x:v>24200.54794520548</x:v>
      </x:c>
    </x:row>
    <x:row r="71">
      <x:c r="A71" t="str">
        <x:v>Woodcutting</x:v>
      </x:c>
      <x:c r="B71" t="str">
        <x:v>split-lightning-struck-cedar</x:v>
      </x:c>
      <x:c r="C71" t="str">
        <x:v>Split Lightning Struck Cedar</x:v>
      </x:c>
      <x:c r="D71" s="7" t="n">
        <x:v>28</x:v>
      </x:c>
      <x:c r="E71" s="7" t="n">
        <x:v>4.55</x:v>
      </x:c>
      <x:c r="F71" s="7" t="n">
        <x:v>37</x:v>
      </x:c>
      <x:c r="G71" s="8" t="n">
        <x:v>86.4</x:v>
      </x:c>
      <x:c r="H71" s="9" t="n">
        <x:f>F71*(G71/100)/E71*3600</x:f>
        <x:v>25293.36263736264</x:v>
      </x:c>
    </x:row>
    <x:row r="72">
      <x:c r="A72" t="str">
        <x:v>Woodcutting</x:v>
      </x:c>
      <x:c r="B72" t="str">
        <x:v>carve-through-fallen-giant</x:v>
      </x:c>
      <x:c r="C72" t="str">
        <x:v>Carve Through Fallen Giant</x:v>
      </x:c>
      <x:c r="D72" s="7" t="n">
        <x:v>33</x:v>
      </x:c>
      <x:c r="E72" s="7" t="n">
        <x:v>5.27</x:v>
      </x:c>
      <x:c r="F72" s="7" t="n">
        <x:v>49</x:v>
      </x:c>
      <x:c r="G72" s="8" t="n">
        <x:v>84.4</x:v>
      </x:c>
      <x:c r="H72" s="9" t="n">
        <x:f>F72*(G72/100)/E72*3600</x:f>
        <x:v>28250.777988614806</x:v>
      </x:c>
    </x:row>
    <x:row r="73">
      <x:c r="A73" t="str">
        <x:v>Woodcutting</x:v>
      </x:c>
      <x:c r="B73" t="str">
        <x:v>chop-ancient-tree</x:v>
      </x:c>
      <x:c r="C73" t="str">
        <x:v>Chop Ancient Tree</x:v>
      </x:c>
      <x:c r="D73" s="7" t="n">
        <x:v>38</x:v>
      </x:c>
      <x:c r="E73" s="7" t="n">
        <x:v>5.67</x:v>
      </x:c>
      <x:c r="F73" s="7" t="n">
        <x:v>63</x:v>
      </x:c>
      <x:c r="G73" s="8" t="n">
        <x:v>79.6</x:v>
      </x:c>
      <x:c r="H73" s="9" t="n">
        <x:f>F73*(G73/100)/E73*3600</x:f>
        <x:v>31839.999999999996</x:v>
      </x:c>
    </x:row>
    <x:row r="74">
      <x:c r="A74" t="str">
        <x:v>Woodcutting</x:v>
      </x:c>
      <x:c r="B74" t="str">
        <x:v>negotiate-with-angry-stump</x:v>
      </x:c>
      <x:c r="C74" t="str">
        <x:v>Negotiate With Angry Stump</x:v>
      </x:c>
      <x:c r="D74" s="7" t="n">
        <x:v>43</x:v>
      </x:c>
      <x:c r="E74" s="7" t="n">
        <x:v>6.57</x:v>
      </x:c>
      <x:c r="F74" s="7" t="n">
        <x:v>74</x:v>
      </x:c>
      <x:c r="G74" s="8" t="n">
        <x:v>76.8</x:v>
      </x:c>
      <x:c r="H74" s="9" t="n">
        <x:f>F74*(G74/100)/E74*3600</x:f>
        <x:v>31140.82191780822</x:v>
      </x:c>
    </x:row>
    <x:row r="75">
      <x:c r="A75" t="str">
        <x:v>Woodcutting</x:v>
      </x:c>
      <x:c r="B75" t="str">
        <x:v>clear-mystic-timberland</x:v>
      </x:c>
      <x:c r="C75" t="str">
        <x:v>Clear Mystic Timberland</x:v>
      </x:c>
      <x:c r="D75" s="7" t="n">
        <x:v>49</x:v>
      </x:c>
      <x:c r="E75" s="7" t="n">
        <x:v>7.12</x:v>
      </x:c>
      <x:c r="F75" s="7" t="n">
        <x:v>91</x:v>
      </x:c>
      <x:c r="G75" s="8" t="n">
        <x:v>75.2</x:v>
      </x:c>
      <x:c r="H75" s="9" t="n">
        <x:f>F75*(G75/100)/E75*3600</x:f>
        <x:v>34600.44943820225</x:v>
      </x:c>
    </x:row>
    <x:row r="76">
      <x:c r="A76" t="str">
        <x:v>Woodcutting</x:v>
      </x:c>
      <x:c r="B76" t="str">
        <x:v>harvest-tree-apology</x:v>
      </x:c>
      <x:c r="C76" t="str">
        <x:v>Harvest Tree Apology</x:v>
      </x:c>
      <x:c r="D76" s="7" t="n">
        <x:v>54</x:v>
      </x:c>
      <x:c r="E76" s="7" t="n">
        <x:v>7.84</x:v>
      </x:c>
      <x:c r="F76" s="7" t="n">
        <x:v>108</x:v>
      </x:c>
      <x:c r="G76" s="8" t="n">
        <x:v>74.4</x:v>
      </x:c>
      <x:c r="H76" s="9" t="n">
        <x:f>F76*(G76/100)/E76*3600</x:f>
        <x:v>36896.32653061225</x:v>
      </x:c>
    </x:row>
    <x:row r="77">
      <x:c r="A77" t="str">
        <x:v>Woodcutting</x:v>
      </x:c>
      <x:c r="B77" t="str">
        <x:v>fight-ent</x:v>
      </x:c>
      <x:c r="C77" t="str">
        <x:v>Fight Ent</x:v>
      </x:c>
      <x:c r="D77" s="7" t="n">
        <x:v>56</x:v>
      </x:c>
      <x:c r="E77" s="7" t="n">
        <x:v>8.05</x:v>
      </x:c>
      <x:c r="F77" s="7" t="n">
        <x:v>119</x:v>
      </x:c>
      <x:c r="G77" s="8" t="n">
        <x:v>73.3</x:v>
      </x:c>
      <x:c r="H77" s="9" t="n">
        <x:f>F77*(G77/100)/E77*3600</x:f>
        <x:v>39008.34782608696</x:v>
      </x:c>
    </x:row>
    <x:row r="78">
      <x:c r="A78" t="str">
        <x:v>Woodcutting</x:v>
      </x:c>
      <x:c r="B78" t="str">
        <x:v>fell-tree-that-remembers-you</x:v>
      </x:c>
      <x:c r="C78" t="str">
        <x:v>Fell Tree That Remembers You</x:v>
      </x:c>
      <x:c r="D78" s="7" t="n">
        <x:v>60</x:v>
      </x:c>
      <x:c r="E78" s="7" t="n">
        <x:v>8.65</x:v>
      </x:c>
      <x:c r="F78" s="7" t="n">
        <x:v>132</x:v>
      </x:c>
      <x:c r="G78" s="8" t="n">
        <x:v>72</x:v>
      </x:c>
      <x:c r="H78" s="9" t="n">
        <x:f>F78*(G78/100)/E78*3600</x:f>
        <x:v>39554.219653179185</x:v>
      </x:c>
    </x:row>
    <x:row r="79">
      <x:c r="A79" t="str">
        <x:v>Woodcutting</x:v>
      </x:c>
      <x:c r="B79" t="str">
        <x:v>carve-the-guilds-trophy-oar</x:v>
      </x:c>
      <x:c r="C79" t="str">
        <x:v>Carve The Guild's Trophy Oar</x:v>
      </x:c>
      <x:c r="D79" s="7" t="n">
        <x:v>62</x:v>
      </x:c>
      <x:c r="E79" s="7" t="n">
        <x:v>8.95</x:v>
      </x:c>
      <x:c r="F79" s="7" t="n">
        <x:v>141</x:v>
      </x:c>
      <x:c r="G79" s="8" t="n">
        <x:v>70.2</x:v>
      </x:c>
      <x:c r="H79" s="9" t="n">
        <x:f>F79*(G79/100)/E79*3600</x:f>
        <x:v>39813.98882681565</x:v>
      </x:c>
    </x:row>
    <x:row r="80">
      <x:c r="A80" t="str">
        <x:v>Woodcutting</x:v>
      </x:c>
      <x:c r="B80" t="str">
        <x:v>chop-invisible-windwood</x:v>
      </x:c>
      <x:c r="C80" t="str">
        <x:v>Chop Invisible Windwood</x:v>
      </x:c>
      <x:c r="D80" s="7" t="n">
        <x:v>66</x:v>
      </x:c>
      <x:c r="E80" s="7" t="n">
        <x:v>9.48</x:v>
      </x:c>
      <x:c r="F80" s="7" t="n">
        <x:v>153</x:v>
      </x:c>
      <x:c r="G80" s="8" t="n">
        <x:v>68.3</x:v>
      </x:c>
      <x:c r="H80" s="9" t="n">
        <x:f>F80*(G80/100)/E80*3600</x:f>
        <x:v>39683.164556962016</x:v>
      </x:c>
    </x:row>
    <x:row r="81">
      <x:c r="A81" t="str">
        <x:v>Woodcutting</x:v>
      </x:c>
      <x:c r="B81" t="str">
        <x:v>harvest-moonlit-silverwood</x:v>
      </x:c>
      <x:c r="C81" t="str">
        <x:v>Harvest Moonlit Silverwood</x:v>
      </x:c>
      <x:c r="D81" s="7" t="n">
        <x:v>70</x:v>
      </x:c>
      <x:c r="E81" s="7" t="n">
        <x:v>9.77</x:v>
      </x:c>
      <x:c r="F81" s="7" t="n">
        <x:v>176</x:v>
      </x:c>
      <x:c r="G81" s="8" t="n">
        <x:v>64.3</x:v>
      </x:c>
      <x:c r="H81" s="9" t="n">
        <x:f>F81*(G81/100)/E81*3600</x:f>
        <x:v>41699.570112589565</x:v>
      </x:c>
    </x:row>
    <x:row r="82">
      <x:c r="A82" t="str">
        <x:v>Woodcutting</x:v>
      </x:c>
      <x:c r="B82" t="str">
        <x:v>clear-forest-legal</x:v>
      </x:c>
      <x:c r="C82" t="str">
        <x:v>Clear Forest Legal</x:v>
      </x:c>
      <x:c r="D82" s="7" t="n">
        <x:v>73</x:v>
      </x:c>
      <x:c r="E82" s="7" t="n">
        <x:v>10.19</x:v>
      </x:c>
      <x:c r="F82" s="7" t="n">
        <x:v>191</x:v>
      </x:c>
      <x:c r="G82" s="8" t="n">
        <x:v>64</x:v>
      </x:c>
      <x:c r="H82" s="9" t="n">
        <x:f>F82*(G82/100)/E82*3600</x:f>
        <x:v>43185.868498527976</x:v>
      </x:c>
    </x:row>
    <x:row r="83">
      <x:c r="A83" t="str">
        <x:v>Woodcutting</x:v>
      </x:c>
      <x:c r="B83" t="str">
        <x:v>axe-world-tree-forms</x:v>
      </x:c>
      <x:c r="C83" t="str">
        <x:v>Axe World Tree Forms</x:v>
      </x:c>
      <x:c r="D83" s="7" t="n">
        <x:v>75</x:v>
      </x:c>
      <x:c r="E83" s="7" t="n">
        <x:v>10.55</x:v>
      </x:c>
      <x:c r="F83" s="7" t="n">
        <x:v>211</x:v>
      </x:c>
      <x:c r="G83" s="8" t="n">
        <x:v>63.9</x:v>
      </x:c>
      <x:c r="H83" s="9" t="n">
        <x:f>F83*(G83/100)/E83*3600</x:f>
        <x:v>46008</x:v>
      </x:c>
    </x:row>
    <x:row r="84">
      <x:c r="A84" t="str">
        <x:v>Woodcutting</x:v>
      </x:c>
      <x:c r="B84" t="str">
        <x:v>chop-a-tree-in-four-timelines</x:v>
      </x:c>
      <x:c r="C84" t="str">
        <x:v>Chop A Tree In Four Timelines</x:v>
      </x:c>
      <x:c r="D84" s="7" t="n">
        <x:v>77</x:v>
      </x:c>
      <x:c r="E84" s="7" t="n">
        <x:v>10.93</x:v>
      </x:c>
      <x:c r="F84" s="7" t="n">
        <x:v>236</x:v>
      </x:c>
      <x:c r="G84" s="8" t="n">
        <x:v>63.5</x:v>
      </x:c>
      <x:c r="H84" s="9" t="n">
        <x:f>F84*(G84/100)/E84*3600</x:f>
        <x:v>49359.194876486734</x:v>
      </x:c>
    </x:row>
    <x:row r="85">
      <x:c r="A85" t="str">
        <x:v>Woodcutting</x:v>
      </x:c>
      <x:c r="B85" t="str">
        <x:v>chop-super-tall-tree</x:v>
      </x:c>
      <x:c r="C85" t="str">
        <x:v>Chop Super Tall Tree</x:v>
      </x:c>
      <x:c r="D85" s="7" t="n">
        <x:v>78</x:v>
      </x:c>
      <x:c r="E85" s="7" t="n">
        <x:v>10.93</x:v>
      </x:c>
      <x:c r="F85" s="7" t="n">
        <x:v>253</x:v>
      </x:c>
      <x:c r="G85" s="8" t="n">
        <x:v>61.9</x:v>
      </x:c>
      <x:c r="H85" s="9" t="n">
        <x:f>F85*(G85/100)/E85*3600</x:f>
        <x:v>51581.44556267155</x:v>
      </x:c>
    </x:row>
    <x:row r="86">
      <x:c r="A86" t="str">
        <x:v>Woodcutting</x:v>
      </x:c>
      <x:c r="B86" t="str">
        <x:v>harvest-ironwood</x:v>
      </x:c>
      <x:c r="C86" t="str">
        <x:v>Harvest Ironwood</x:v>
      </x:c>
      <x:c r="D86" s="7" t="n">
        <x:v>79</x:v>
      </x:c>
      <x:c r="E86" s="7" t="n">
        <x:v>11.2</x:v>
      </x:c>
      <x:c r="F86" s="7" t="n">
        <x:v>269</x:v>
      </x:c>
      <x:c r="G86" s="8" t="n">
        <x:v>60.7</x:v>
      </x:c>
      <x:c r="H86" s="9" t="n">
        <x:f>F86*(G86/100)/E86*3600</x:f>
        <x:v>52483.82142857143</x:v>
      </x:c>
    </x:row>
    <x:row r="87">
      <x:c r="A87" t="str">
        <x:v>Woodcutting</x:v>
      </x:c>
      <x:c r="B87" t="str">
        <x:v>clear-the-infinite-lumberyard</x:v>
      </x:c>
      <x:c r="C87" t="str">
        <x:v>Clear The Infinite Lumberyard</x:v>
      </x:c>
      <x:c r="D87" s="7" t="n">
        <x:v>80</x:v>
      </x:c>
      <x:c r="E87" s="7" t="n">
        <x:v>11.2</x:v>
      </x:c>
      <x:c r="F87" s="7" t="n">
        <x:v>284</x:v>
      </x:c>
      <x:c r="G87" s="8" t="n">
        <x:v>59.4</x:v>
      </x:c>
      <x:c r="H87" s="9" t="n">
        <x:f>F87*(G87/100)/E87*3600</x:f>
        <x:v>54223.71428571429</x:v>
      </x:c>
    </x:row>
    <x:row r="88">
      <x:c r="A88" t="str">
        <x:v>Fishing</x:v>
      </x:c>
      <x:c r="B88" t="str">
        <x:v>shallows</x:v>
      </x:c>
      <x:c r="C88" t="str">
        <x:v>Shallows</x:v>
      </x:c>
      <x:c r="D88" s="7" t="n">
        <x:v>1</x:v>
      </x:c>
      <x:c r="E88" s="7" t="n">
        <x:v>4</x:v>
      </x:c>
      <x:c r="F88" s="7" t="n">
        <x:v>3</x:v>
      </x:c>
      <x:c r="G88" s="8" t="n">
        <x:v>92</x:v>
      </x:c>
      <x:c r="H88" s="9" t="n">
        <x:f>F88*(G88/100)/E88*3600</x:f>
        <x:v>2484</x:v>
      </x:c>
    </x:row>
    <x:row r="89">
      <x:c r="A89" t="str">
        <x:v>Fishing</x:v>
      </x:c>
      <x:c r="B89" t="str">
        <x:v>rocks</x:v>
      </x:c>
      <x:c r="C89" t="str">
        <x:v>Rocks</x:v>
      </x:c>
      <x:c r="D89" s="7" t="n">
        <x:v>4</x:v>
      </x:c>
      <x:c r="E89" s="7" t="n">
        <x:v>4</x:v>
      </x:c>
      <x:c r="F89" s="7" t="n">
        <x:v>5</x:v>
      </x:c>
      <x:c r="G89" s="8" t="n">
        <x:v>84</x:v>
      </x:c>
      <x:c r="H89" s="9" t="n">
        <x:f>F89*(G89/100)/E89*3600</x:f>
        <x:v>3780</x:v>
      </x:c>
    </x:row>
    <x:row r="90">
      <x:c r="A90" t="str">
        <x:v>Fishing</x:v>
      </x:c>
      <x:c r="B90" t="str">
        <x:v>dock-edge</x:v>
      </x:c>
      <x:c r="C90" t="str">
        <x:v>Dock Edge</x:v>
      </x:c>
      <x:c r="D90" s="7" t="n">
        <x:v>7</x:v>
      </x:c>
      <x:c r="E90" s="7" t="n">
        <x:v>4</x:v>
      </x:c>
      <x:c r="F90" s="7" t="n">
        <x:v>4</x:v>
      </x:c>
      <x:c r="G90" s="8" t="n">
        <x:v>90</x:v>
      </x:c>
      <x:c r="H90" s="9" t="n">
        <x:f>F90*(G90/100)/E90*3600</x:f>
        <x:v>3240</x:v>
      </x:c>
    </x:row>
    <x:row r="91">
      <x:c r="A91" t="str">
        <x:v>Fishing</x:v>
      </x:c>
      <x:c r="B91" t="str">
        <x:v>piling-line</x:v>
      </x:c>
      <x:c r="C91" t="str">
        <x:v>Piling Line</x:v>
      </x:c>
      <x:c r="D91" s="7" t="n">
        <x:v>11</x:v>
      </x:c>
      <x:c r="E91" s="7" t="n">
        <x:v>4</x:v>
      </x:c>
      <x:c r="F91" s="7" t="n">
        <x:v>4</x:v>
      </x:c>
      <x:c r="G91" s="8" t="n">
        <x:v>88</x:v>
      </x:c>
      <x:c r="H91" s="9" t="n">
        <x:f>F91*(G91/100)/E91*3600</x:f>
        <x:v>3168</x:v>
      </x:c>
    </x:row>
    <x:row r="92">
      <x:c r="A92" t="str">
        <x:v>Fishing</x:v>
      </x:c>
      <x:c r="B92" t="str">
        <x:v>river-bend</x:v>
      </x:c>
      <x:c r="C92" t="str">
        <x:v>River Bend</x:v>
      </x:c>
      <x:c r="D92" s="7" t="n">
        <x:v>14</x:v>
      </x:c>
      <x:c r="E92" s="7" t="n">
        <x:v>4</x:v>
      </x:c>
      <x:c r="F92" s="7" t="n">
        <x:v>5</x:v>
      </x:c>
      <x:c r="G92" s="8" t="n">
        <x:v>85.8</x:v>
      </x:c>
      <x:c r="H92" s="9" t="n">
        <x:f>F92*(G92/100)/E92*3600</x:f>
        <x:v>3861</x:v>
      </x:c>
    </x:row>
    <x:row r="93">
      <x:c r="A93" t="str">
        <x:v>Fishing</x:v>
      </x:c>
      <x:c r="B93" t="str">
        <x:v>rapids</x:v>
      </x:c>
      <x:c r="C93" t="str">
        <x:v>Rapids</x:v>
      </x:c>
      <x:c r="D93" s="7" t="n">
        <x:v>18</x:v>
      </x:c>
      <x:c r="E93" s="7" t="n">
        <x:v>4</x:v>
      </x:c>
      <x:c r="F93" s="7" t="n">
        <x:v>19</x:v>
      </x:c>
      <x:c r="G93" s="8" t="n">
        <x:v>79.6</x:v>
      </x:c>
      <x:c r="H93" s="9" t="n">
        <x:f>F93*(G93/100)/E93*3600</x:f>
        <x:v>13611.599999999999</x:v>
      </x:c>
    </x:row>
    <x:row r="94">
      <x:c r="A94" t="str">
        <x:v>Fishing</x:v>
      </x:c>
      <x:c r="B94" t="str">
        <x:v>drain-gate</x:v>
      </x:c>
      <x:c r="C94" t="str">
        <x:v>Drain Gate</x:v>
      </x:c>
      <x:c r="D94" s="7" t="n">
        <x:v>22</x:v>
      </x:c>
      <x:c r="E94" s="7" t="n">
        <x:v>4</x:v>
      </x:c>
      <x:c r="F94" s="7" t="n">
        <x:v>24</x:v>
      </x:c>
      <x:c r="G94" s="8" t="n">
        <x:v>77.5</x:v>
      </x:c>
      <x:c r="H94" s="9" t="n">
        <x:f>F94*(G94/100)/E94*3600</x:f>
        <x:v>16740</x:v>
      </x:c>
    </x:row>
    <x:row r="95">
      <x:c r="A95" t="str">
        <x:v>Fishing</x:v>
      </x:c>
      <x:c r="B95" t="str">
        <x:v>fight-rat-king</x:v>
      </x:c>
      <x:c r="C95" t="str">
        <x:v>Fight Rat King</x:v>
      </x:c>
      <x:c r="D95" s="7" t="n">
        <x:v>24</x:v>
      </x:c>
      <x:c r="E95" s="7" t="n">
        <x:v>12</x:v>
      </x:c>
      <x:c r="F95" s="7" t="n">
        <x:v>7</x:v>
      </x:c>
      <x:c r="G95" s="8" t="n">
        <x:v>75.3</x:v>
      </x:c>
      <x:c r="H95" s="9" t="n">
        <x:f>F95*(G95/100)/E95*3600</x:f>
        <x:v>1581.3</x:v>
      </x:c>
    </x:row>
    <x:row r="96">
      <x:c r="A96" t="str">
        <x:v>Fishing</x:v>
      </x:c>
      <x:c r="B96" t="str">
        <x:v>tunnel-pool</x:v>
      </x:c>
      <x:c r="C96" t="str">
        <x:v>Tunnel Pool</x:v>
      </x:c>
      <x:c r="D96" s="7" t="n">
        <x:v>26</x:v>
      </x:c>
      <x:c r="E96" s="7" t="n">
        <x:v>4</x:v>
      </x:c>
      <x:c r="F96" s="7" t="n">
        <x:v>33</x:v>
      </x:c>
      <x:c r="G96" s="8" t="n">
        <x:v>73.2</x:v>
      </x:c>
      <x:c r="H96" s="9" t="n">
        <x:f>F96*(G96/100)/E96*3600</x:f>
        <x:v>21740.399999999998</x:v>
      </x:c>
    </x:row>
    <x:row r="97">
      <x:c r="A97" t="str">
        <x:v>Fishing</x:v>
      </x:c>
      <x:c r="B97" t="str">
        <x:v>reef-pot</x:v>
      </x:c>
      <x:c r="C97" t="str">
        <x:v>Reef Pot</x:v>
      </x:c>
      <x:c r="D97" s="7" t="n">
        <x:v>30</x:v>
      </x:c>
      <x:c r="E97" s="7" t="n">
        <x:v>4</x:v>
      </x:c>
      <x:c r="F97" s="7" t="n">
        <x:v>15</x:v>
      </x:c>
      <x:c r="G97" s="8" t="n">
        <x:v>81.1</x:v>
      </x:c>
      <x:c r="H97" s="9" t="n">
        <x:f>F97*(G97/100)/E97*3600</x:f>
        <x:v>10948.5</x:v>
      </x:c>
    </x:row>
    <x:row r="98">
      <x:c r="A98" t="str">
        <x:v>Fishing</x:v>
      </x:c>
      <x:c r="B98" t="str">
        <x:v>anchor-tiny-boat-dock</x:v>
      </x:c>
      <x:c r="C98" t="str">
        <x:v>Anchor Tiny Boat Dock</x:v>
      </x:c>
      <x:c r="D98" s="7" t="n">
        <x:v>32</x:v>
      </x:c>
      <x:c r="E98" s="7" t="n">
        <x:v>4</x:v>
      </x:c>
      <x:c r="F98" s="7" t="n">
        <x:v>24</x:v>
      </x:c>
      <x:c r="G98" s="8" t="n">
        <x:v>76.9</x:v>
      </x:c>
      <x:c r="H98" s="9" t="n">
        <x:f>F98*(G98/100)/E98*3600</x:f>
        <x:v>16610.399999999998</x:v>
      </x:c>
    </x:row>
    <x:row r="99">
      <x:c r="A99" t="str">
        <x:v>Fishing</x:v>
      </x:c>
      <x:c r="B99" t="str">
        <x:v>ice-hole</x:v>
      </x:c>
      <x:c r="C99" t="str">
        <x:v>Ice Hole</x:v>
      </x:c>
      <x:c r="D99" s="7" t="n">
        <x:v>34</x:v>
      </x:c>
      <x:c r="E99" s="7" t="n">
        <x:v>4</x:v>
      </x:c>
      <x:c r="F99" s="7" t="n">
        <x:v>28</x:v>
      </x:c>
      <x:c r="G99" s="8" t="n">
        <x:v>74.8</x:v>
      </x:c>
      <x:c r="H99" s="9" t="n">
        <x:f>F99*(G99/100)/E99*3600</x:f>
        <x:v>18849.6</x:v>
      </x:c>
    </x:row>
    <x:row r="100">
      <x:c r="A100" t="str">
        <x:v>Fishing</x:v>
      </x:c>
      <x:c r="B100" t="str">
        <x:v>fight-armored-catfish</x:v>
      </x:c>
      <x:c r="C100" t="str">
        <x:v>Fight Armored Catfish</x:v>
      </x:c>
      <x:c r="D100" s="7" t="n">
        <x:v>44</x:v>
      </x:c>
      <x:c r="E100" s="7" t="n">
        <x:v>4</x:v>
      </x:c>
      <x:c r="F100" s="7" t="n">
        <x:v>42</x:v>
      </x:c>
      <x:c r="G100" s="8" t="n">
        <x:v>68.7</x:v>
      </x:c>
      <x:c r="H100" s="9" t="n">
        <x:f>F100*(G100/100)/E100*3600</x:f>
        <x:v>25968.600000000002</x:v>
      </x:c>
    </x:row>
    <x:row r="101">
      <x:c r="A101" t="str">
        <x:v>Fishing</x:v>
      </x:c>
      <x:c r="B101" t="str">
        <x:v>reef-cage</x:v>
      </x:c>
      <x:c r="C101" t="str">
        <x:v>Reef Cage</x:v>
      </x:c>
      <x:c r="D101" s="7" t="n">
        <x:v>46</x:v>
      </x:c>
      <x:c r="E101" s="7" t="n">
        <x:v>4</x:v>
      </x:c>
      <x:c r="F101" s="7" t="n">
        <x:v>44</x:v>
      </x:c>
      <x:c r="G101" s="8" t="n">
        <x:v>68.6</x:v>
      </x:c>
      <x:c r="H101" s="9" t="n">
        <x:f>F101*(G101/100)/E101*3600</x:f>
        <x:v>27165.6</x:v>
      </x:c>
    </x:row>
    <x:row r="102">
      <x:c r="A102" t="str">
        <x:v>Fishing</x:v>
      </x:c>
      <x:c r="B102" t="str">
        <x:v>rowboat</x:v>
      </x:c>
      <x:c r="C102" t="str">
        <x:v>Rowboat</x:v>
      </x:c>
      <x:c r="D102" s="7" t="n">
        <x:v>50</x:v>
      </x:c>
      <x:c r="E102" s="7" t="n">
        <x:v>4</x:v>
      </x:c>
      <x:c r="F102" s="7" t="n">
        <x:v>39</x:v>
      </x:c>
      <x:c r="G102" s="8" t="n">
        <x:v>70.5</x:v>
      </x:c>
      <x:c r="H102" s="9" t="n">
        <x:f>F102*(G102/100)/E102*3600</x:f>
        <x:v>24745.499999999996</x:v>
      </x:c>
    </x:row>
    <x:row r="103">
      <x:c r="A103" t="str">
        <x:v>Fishing</x:v>
      </x:c>
      <x:c r="B103" t="str">
        <x:v>open-water</x:v>
      </x:c>
      <x:c r="C103" t="str">
        <x:v>Open Water</x:v>
      </x:c>
      <x:c r="D103" s="7" t="n">
        <x:v>52</x:v>
      </x:c>
      <x:c r="E103" s="7" t="n">
        <x:v>4</x:v>
      </x:c>
      <x:c r="F103" s="7" t="n">
        <x:v>49</x:v>
      </x:c>
      <x:c r="G103" s="8" t="n">
        <x:v>66.4</x:v>
      </x:c>
      <x:c r="H103" s="9" t="n">
        <x:f>F103*(G103/100)/E103*3600</x:f>
        <x:v>29282.4</x:v>
      </x:c>
    </x:row>
    <x:row r="104">
      <x:c r="A104" t="str">
        <x:v>Fishing</x:v>
      </x:c>
      <x:c r="B104" t="str">
        <x:v>fight-a-shark</x:v>
      </x:c>
      <x:c r="C104" t="str">
        <x:v>Fight A Shark</x:v>
      </x:c>
      <x:c r="D104" s="7" t="n">
        <x:v>56</x:v>
      </x:c>
      <x:c r="E104" s="7" t="n">
        <x:v>4</x:v>
      </x:c>
      <x:c r="F104" s="7" t="n">
        <x:v>52</x:v>
      </x:c>
      <x:c r="G104" s="8" t="n">
        <x:v>64.3</x:v>
      </x:c>
      <x:c r="H104" s="9" t="n">
        <x:f>F104*(G104/100)/E104*3600</x:f>
        <x:v>30092.4</x:v>
      </x:c>
    </x:row>
    <x:row r="105">
      <x:c r="A105" t="str">
        <x:v>Fishing</x:v>
      </x:c>
      <x:c r="B105" t="str">
        <x:v>night-reef</x:v>
      </x:c>
      <x:c r="C105" t="str">
        <x:v>Night Reef</x:v>
      </x:c>
      <x:c r="D105" s="7" t="n">
        <x:v>58</x:v>
      </x:c>
      <x:c r="E105" s="7" t="n">
        <x:v>4</x:v>
      </x:c>
      <x:c r="F105" s="7" t="n">
        <x:v>55</x:v>
      </x:c>
      <x:c r="G105" s="8" t="n">
        <x:v>64.3</x:v>
      </x:c>
      <x:c r="H105" s="9" t="n">
        <x:f>F105*(G105/100)/E105*3600</x:f>
        <x:v>31828.5</x:v>
      </x:c>
    </x:row>
    <x:row r="106">
      <x:c r="A106" t="str">
        <x:v>Fishing</x:v>
      </x:c>
      <x:c r="B106" t="str">
        <x:v>loot-a-pirate-ship</x:v>
      </x:c>
      <x:c r="C106" t="str">
        <x:v>Loot A Pirate Ship</x:v>
      </x:c>
      <x:c r="D106" s="7" t="n">
        <x:v>60</x:v>
      </x:c>
      <x:c r="E106" s="7" t="n">
        <x:v>4</x:v>
      </x:c>
      <x:c r="F106" s="7" t="n">
        <x:v>36</x:v>
      </x:c>
      <x:c r="G106" s="8" t="n">
        <x:v>63.2</x:v>
      </x:c>
      <x:c r="H106" s="9" t="n">
        <x:f>F106*(G106/100)/E106*3600</x:f>
        <x:v>20476.8</x:v>
      </x:c>
    </x:row>
    <x:row r="107">
      <x:c r="A107" t="str">
        <x:v>Fishing</x:v>
      </x:c>
      <x:c r="B107" t="str">
        <x:v>storm-ripple</x:v>
      </x:c>
      <x:c r="C107" t="str">
        <x:v>Storm Ripple</x:v>
      </x:c>
      <x:c r="D107" s="7" t="n">
        <x:v>64</x:v>
      </x:c>
      <x:c r="E107" s="7" t="n">
        <x:v>4</x:v>
      </x:c>
      <x:c r="F107" s="7" t="n">
        <x:v>61</x:v>
      </x:c>
      <x:c r="G107" s="8" t="n">
        <x:v>62.1</x:v>
      </x:c>
      <x:c r="H107" s="9" t="n">
        <x:f>F107*(G107/100)/E107*3600</x:f>
        <x:v>34092.9</x:v>
      </x:c>
    </x:row>
    <x:row r="108">
      <x:c r="A108" t="str">
        <x:v>Fishing</x:v>
      </x:c>
      <x:c r="B108" t="str">
        <x:v>chum-line</x:v>
      </x:c>
      <x:c r="C108" t="str">
        <x:v>Chum Line</x:v>
      </x:c>
      <x:c r="D108" s="7" t="n">
        <x:v>70</x:v>
      </x:c>
      <x:c r="E108" s="7" t="n">
        <x:v>4</x:v>
      </x:c>
      <x:c r="F108" s="7" t="n">
        <x:v>73</x:v>
      </x:c>
      <x:c r="G108" s="8" t="n">
        <x:v>58</x:v>
      </x:c>
      <x:c r="H108" s="9" t="n">
        <x:f>F108*(G108/100)/E108*3600</x:f>
        <x:v>38106</x:v>
      </x:c>
    </x:row>
    <x:row r="109">
      <x:c r="A109" t="str">
        <x:v>Fishing</x:v>
      </x:c>
      <x:c r="B109" t="str">
        <x:v>pearl-bed</x:v>
      </x:c>
      <x:c r="C109" t="str">
        <x:v>Pearl Bed</x:v>
      </x:c>
      <x:c r="D109" s="7" t="n">
        <x:v>74</x:v>
      </x:c>
      <x:c r="E109" s="7" t="n">
        <x:v>4</x:v>
      </x:c>
      <x:c r="F109" s="7" t="n">
        <x:v>85</x:v>
      </x:c>
      <x:c r="G109" s="8" t="n">
        <x:v>54</x:v>
      </x:c>
      <x:c r="H109" s="9" t="n">
        <x:f>F109*(G109/100)/E109*3600</x:f>
        <x:v>41310.00000000001</x:v>
      </x:c>
    </x:row>
    <x:row r="110">
      <x:c r="A110" t="str">
        <x:v>Fishing</x:v>
      </x:c>
      <x:c r="B110" t="str">
        <x:v>storm-line</x:v>
      </x:c>
      <x:c r="C110" t="str">
        <x:v>Storm Line</x:v>
      </x:c>
      <x:c r="D110" s="7" t="n">
        <x:v>78</x:v>
      </x:c>
      <x:c r="E110" s="7" t="n">
        <x:v>4</x:v>
      </x:c>
      <x:c r="F110" s="7" t="n">
        <x:v>79</x:v>
      </x:c>
      <x:c r="G110" s="8" t="n">
        <x:v>55.9</x:v>
      </x:c>
      <x:c r="H110" s="9" t="n">
        <x:f>F110*(G110/100)/E110*3600</x:f>
        <x:v>39744.899999999994</x:v>
      </x:c>
    </x:row>
    <x:row r="111">
      <x:c r="A111" t="str">
        <x:v>Fishing</x:v>
      </x:c>
      <x:c r="B111" t="str">
        <x:v>wreck-drop</x:v>
      </x:c>
      <x:c r="C111" t="str">
        <x:v>Wreck Drop</x:v>
      </x:c>
      <x:c r="D111" s="7" t="n">
        <x:v>82</x:v>
      </x:c>
      <x:c r="E111" s="7" t="n">
        <x:v>4</x:v>
      </x:c>
      <x:c r="F111" s="7" t="n">
        <x:v>92</x:v>
      </x:c>
      <x:c r="G111" s="8" t="n">
        <x:v>51.9</x:v>
      </x:c>
      <x:c r="H111" s="9" t="n">
        <x:f>F111*(G111/100)/E111*3600</x:f>
        <x:v>42973.200000000004</x:v>
      </x:c>
    </x:row>
    <x:row r="112">
      <x:c r="A112" t="str">
        <x:v>Fishing</x:v>
      </x:c>
      <x:c r="B112" t="str">
        <x:v>abyss</x:v>
      </x:c>
      <x:c r="C112" t="str">
        <x:v>Abyss</x:v>
      </x:c>
      <x:c r="D112" s="7" t="n">
        <x:v>86</x:v>
      </x:c>
      <x:c r="E112" s="7" t="n">
        <x:v>4</x:v>
      </x:c>
      <x:c r="F112" s="7" t="n">
        <x:v>98</x:v>
      </x:c>
      <x:c r="G112" s="8" t="n">
        <x:v>49.8</x:v>
      </x:c>
      <x:c r="H112" s="9" t="n">
        <x:f>F112*(G112/100)/E112*3600</x:f>
        <x:v>43923.6</x:v>
      </x:c>
    </x:row>
    <x:row r="113">
      <x:c r="A113" t="str">
        <x:v>Fishing</x:v>
      </x:c>
      <x:c r="B113" t="str">
        <x:v>deep-trench</x:v>
      </x:c>
      <x:c r="C113" t="str">
        <x:v>Deep Trench</x:v>
      </x:c>
      <x:c r="D113" s="7" t="n">
        <x:v>88</x:v>
      </x:c>
      <x:c r="E113" s="7" t="n">
        <x:v>4</x:v>
      </x:c>
      <x:c r="F113" s="7" t="n">
        <x:v>105</x:v>
      </x:c>
      <x:c r="G113" s="8" t="n">
        <x:v>47.8</x:v>
      </x:c>
      <x:c r="H113" s="9" t="n">
        <x:f>F113*(G113/100)/E113*3600</x:f>
        <x:v>45171</x:v>
      </x:c>
    </x:row>
    <x:row r="114">
      <x:c r="A114" t="str">
        <x:v>Fishing</x:v>
      </x:c>
      <x:c r="B114" t="str">
        <x:v>starlight</x:v>
      </x:c>
      <x:c r="C114" t="str">
        <x:v>Starlight</x:v>
      </x:c>
      <x:c r="D114" s="7" t="n">
        <x:v>90</x:v>
      </x:c>
      <x:c r="E114" s="7" t="n">
        <x:v>4</x:v>
      </x:c>
      <x:c r="F114" s="7" t="n">
        <x:v>467</x:v>
      </x:c>
      <x:c r="G114" s="8" t="n">
        <x:v>89.7</x:v>
      </x:c>
      <x:c r="H114" s="9" t="n">
        <x:f>F114*(G114/100)/E114*3600</x:f>
        <x:v>377009.1</x:v>
      </x:c>
    </x:row>
    <x:row r="115">
      <x:c r="A115" t="str">
        <x:v>Fishing</x:v>
      </x:c>
      <x:c r="B115" t="str">
        <x:v>reflection</x:v>
      </x:c>
      <x:c r="C115" t="str">
        <x:v>Reflection</x:v>
      </x:c>
      <x:c r="D115" s="7" t="n">
        <x:v>95</x:v>
      </x:c>
      <x:c r="E115" s="7" t="n">
        <x:v>4</x:v>
      </x:c>
      <x:c r="F115" s="7" t="n">
        <x:v>700</x:v>
      </x:c>
      <x:c r="G115" s="8" t="n">
        <x:v>69.7</x:v>
      </x:c>
      <x:c r="H115" s="9" t="n">
        <x:f>F115*(G115/100)/E115*3600</x:f>
        <x:v>439110.00000000006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10.630000114440918" hidden="0" customWidth="1"/>
    <x:col min="3" max="3" width="10.130000114440918" hidden="0" customWidth="1"/>
    <x:col min="4" max="4" width="34" hidden="0" customWidth="1"/>
    <x:col min="5" max="5" width="10.380000114440918" hidden="0" customWidth="1"/>
    <x:col min="6" max="6" width="15.630000114440918" hidden="0" customWidth="1"/>
  </x:cols>
  <x:sheetData>
    <x:row r="1">
      <x:c r="A1" s="4" t="str">
        <x:v>Fight row</x:v>
      </x:c>
      <x:c r="B1" s="4" t="str">
        <x:v>Fighting level</x:v>
      </x:c>
      <x:c r="C1" s="4" t="str">
        <x:v>Skill</x:v>
      </x:c>
      <x:c r="D1" s="4" t="str">
        <x:v>Activity</x:v>
      </x:c>
      <x:c r="E1" s="4" t="str">
        <x:v>Activity level</x:v>
      </x:c>
      <x:c r="F1" s="4" t="str">
        <x:v>Configured XP/hour</x:v>
      </x:c>
    </x:row>
    <x:row r="2">
      <x:c r="A2" s="5" t="n">
        <x:v>2</x:v>
      </x:c>
      <x:c r="B2" s="5" t="n">
        <x:v>5</x:v>
      </x:c>
      <x:c r="C2" t="str">
        <x:v>Thieving</x:v>
      </x:c>
      <x:c r="D2" t="str">
        <x:v>Sneak Past Tip Jar</x:v>
      </x:c>
      <x:c r="E2" s="9" t="n">
        <x:v>2</x:v>
      </x:c>
      <x:c r="F2" s="9" t="n">
        <x:f>'Skilling Baseline'!H3</x:f>
        <x:v>9006.26086956522</x:v>
      </x:c>
    </x:row>
    <x:row r="3">
      <x:c r="A3" s="5" t="n">
        <x:v>2</x:v>
      </x:c>
      <x:c r="B3" s="5" t="n">
        <x:v>5</x:v>
      </x:c>
      <x:c r="C3" t="str">
        <x:v>Thieving</x:v>
      </x:c>
      <x:c r="D3" t="str">
        <x:v>Pocket Couch Coins</x:v>
      </x:c>
      <x:c r="E3" s="9" t="n">
        <x:v>3</x:v>
      </x:c>
      <x:c r="F3" s="9" t="n">
        <x:f>'Skilling Baseline'!H4</x:f>
        <x:v>11820.521739130436</x:v>
      </x:c>
    </x:row>
    <x:row r="4">
      <x:c r="A4" s="5" t="n">
        <x:v>2</x:v>
      </x:c>
      <x:c r="B4" s="5" t="n">
        <x:v>5</x:v>
      </x:c>
      <x:c r="C4" t="str">
        <x:v>Thieving</x:v>
      </x:c>
      <x:c r="D4" t="str">
        <x:v>Chameleon Camouflage</x:v>
      </x:c>
      <x:c r="E4" s="9" t="n">
        <x:v>4</x:v>
      </x:c>
      <x:c r="F4" s="9" t="n">
        <x:f>'Skilling Baseline'!H5</x:f>
        <x:v>12959.999999999998</x:v>
      </x:c>
    </x:row>
    <x:row r="5">
      <x:c r="A5" s="5" t="n">
        <x:v>2</x:v>
      </x:c>
      <x:c r="B5" s="5" t="n">
        <x:v>5</x:v>
      </x:c>
      <x:c r="C5" t="str">
        <x:v>Thieving</x:v>
      </x:c>
      <x:c r="D5" t="str">
        <x:v>Steal A Penny</x:v>
      </x:c>
      <x:c r="E5" s="9" t="n">
        <x:v>5</x:v>
      </x:c>
      <x:c r="F5" s="9" t="n">
        <x:f>'Skilling Baseline'!H6</x:f>
        <x:v>13920</x:v>
      </x:c>
    </x:row>
    <x:row r="6">
      <x:c r="A6" s="5" t="n">
        <x:v>2</x:v>
      </x:c>
      <x:c r="B6" s="5" t="n">
        <x:v>5</x:v>
      </x:c>
      <x:c r="C6" t="str">
        <x:v>Thieving</x:v>
      </x:c>
      <x:c r="D6" t="str">
        <x:v>Jazz Hands Diversion</x:v>
      </x:c>
      <x:c r="E6" s="9" t="n">
        <x:v>7</x:v>
      </x:c>
      <x:c r="F6" s="9" t="n">
        <x:f>'Skilling Baseline'!H7</x:f>
        <x:v>20135.838926174496</x:v>
      </x:c>
    </x:row>
    <x:row r="7">
      <x:c r="A7" s="5" t="n">
        <x:v>2</x:v>
      </x:c>
      <x:c r="B7" s="5" t="n">
        <x:v>5</x:v>
      </x:c>
      <x:c r="C7" t="str">
        <x:v>Building</x:v>
      </x:c>
      <x:c r="D7" t="str">
        <x:v>Hammer Nails</x:v>
      </x:c>
      <x:c r="E7" s="9" t="n">
        <x:v>2</x:v>
      </x:c>
      <x:c r="F7" s="9" t="n">
        <x:f>'Skilling Baseline'!H33</x:f>
        <x:v>6189.473684210527</x:v>
      </x:c>
    </x:row>
    <x:row r="8">
      <x:c r="A8" s="5" t="n">
        <x:v>2</x:v>
      </x:c>
      <x:c r="B8" s="5" t="n">
        <x:v>5</x:v>
      </x:c>
      <x:c r="C8" t="str">
        <x:v>Building</x:v>
      </x:c>
      <x:c r="D8" t="str">
        <x:v>Patch Fence</x:v>
      </x:c>
      <x:c r="E8" s="9" t="n">
        <x:v>3</x:v>
      </x:c>
      <x:c r="F8" s="9" t="n">
        <x:f>'Skilling Baseline'!H34</x:f>
        <x:v>7730.109890109889</x:v>
      </x:c>
    </x:row>
    <x:row r="9">
      <x:c r="A9" s="5" t="n">
        <x:v>2</x:v>
      </x:c>
      <x:c r="B9" s="5" t="n">
        <x:v>5</x:v>
      </x:c>
      <x:c r="C9" t="str">
        <x:v>Building</x:v>
      </x:c>
      <x:c r="D9" t="str">
        <x:v>Saw Planks</x:v>
      </x:c>
      <x:c r="E9" s="9" t="n">
        <x:v>4</x:v>
      </x:c>
      <x:c r="F9" s="9" t="n">
        <x:f>'Skilling Baseline'!H35</x:f>
        <x:v>7548.387096774193</x:v>
      </x:c>
    </x:row>
    <x:row r="10">
      <x:c r="A10" s="5" t="n">
        <x:v>2</x:v>
      </x:c>
      <x:c r="B10" s="5" t="n">
        <x:v>5</x:v>
      </x:c>
      <x:c r="C10" t="str">
        <x:v>Building</x:v>
      </x:c>
      <x:c r="D10" t="str">
        <x:v>Study Blueprint</x:v>
      </x:c>
      <x:c r="E10" s="9" t="n">
        <x:v>5</x:v>
      </x:c>
      <x:c r="F10" s="9" t="n">
        <x:f>'Skilling Baseline'!H36</x:f>
        <x:v>8514.70588235294</x:v>
      </x:c>
    </x:row>
    <x:row r="11">
      <x:c r="A11" s="5" t="n">
        <x:v>2</x:v>
      </x:c>
      <x:c r="B11" s="5" t="n">
        <x:v>5</x:v>
      </x:c>
      <x:c r="C11" t="str">
        <x:v>Building</x:v>
      </x:c>
      <x:c r="D11" t="str">
        <x:v>Repair Small Shack</x:v>
      </x:c>
      <x:c r="E11" s="9" t="n">
        <x:v>6</x:v>
      </x:c>
      <x:c r="F11" s="9" t="n">
        <x:f>'Skilling Baseline'!H37</x:f>
        <x:v>8968.695652173914</x:v>
      </x:c>
    </x:row>
    <x:row r="12">
      <x:c r="A12" s="5" t="n">
        <x:v>2</x:v>
      </x:c>
      <x:c r="B12" s="5" t="n">
        <x:v>5</x:v>
      </x:c>
      <x:c r="C12" t="str">
        <x:v>Building</x:v>
      </x:c>
      <x:c r="D12" t="str">
        <x:v>Install Door That Mostly Opens</x:v>
      </x:c>
      <x:c r="E12" s="9" t="n">
        <x:v>8</x:v>
      </x:c>
      <x:c r="F12" s="9" t="n">
        <x:f>'Skilling Baseline'!H38</x:f>
        <x:v>12616.163265306122</x:v>
      </x:c>
    </x:row>
    <x:row r="13">
      <x:c r="A13" s="5" t="n">
        <x:v>2</x:v>
      </x:c>
      <x:c r="B13" s="5" t="n">
        <x:v>5</x:v>
      </x:c>
      <x:c r="C13" t="str">
        <x:v>Woodcutting</x:v>
      </x:c>
      <x:c r="D13" t="str">
        <x:v>Snap A Twig With Purpose</x:v>
      </x:c>
      <x:c r="E13" s="9" t="n">
        <x:v>3</x:v>
      </x:c>
      <x:c r="F13" s="9" t="n">
        <x:f>'Skilling Baseline'!H62</x:f>
        <x:v>6741.40127388535</x:v>
      </x:c>
    </x:row>
    <x:row r="14">
      <x:c r="A14" s="5" t="n">
        <x:v>2</x:v>
      </x:c>
      <x:c r="B14" s="5" t="n">
        <x:v>5</x:v>
      </x:c>
      <x:c r="C14" t="str">
        <x:v>Woodcutting</x:v>
      </x:c>
      <x:c r="D14" t="str">
        <x:v>Split Firewood</x:v>
      </x:c>
      <x:c r="E14" s="9" t="n">
        <x:v>4</x:v>
      </x:c>
      <x:c r="F14" s="9" t="n">
        <x:f>'Skilling Baseline'!H63</x:f>
        <x:v>8896.815286624204</x:v>
      </x:c>
    </x:row>
    <x:row r="15">
      <x:c r="A15" s="5" t="n">
        <x:v>2</x:v>
      </x:c>
      <x:c r="B15" s="5" t="n">
        <x:v>5</x:v>
      </x:c>
      <x:c r="C15" t="str">
        <x:v>Woodcutting</x:v>
      </x:c>
      <x:c r="D15" t="str">
        <x:v>Trim Overconfident Shrub</x:v>
      </x:c>
      <x:c r="E15" s="9" t="n">
        <x:v>6</x:v>
      </x:c>
      <x:c r="F15" s="9" t="n">
        <x:f>'Skilling Baseline'!H64</x:f>
        <x:v>10621.855670103094</x:v>
      </x:c>
    </x:row>
    <x:row r="16">
      <x:c r="A16" s="5" t="n">
        <x:v>2</x:v>
      </x:c>
      <x:c r="B16" s="5" t="n">
        <x:v>5</x:v>
      </x:c>
      <x:c r="C16" t="str">
        <x:v>Woodcutting</x:v>
      </x:c>
      <x:c r="D16" t="str">
        <x:v>Chop Softwood Tree</x:v>
      </x:c>
      <x:c r="E16" s="9" t="n">
        <x:v>8</x:v>
      </x:c>
      <x:c r="F16" s="9" t="n">
        <x:f>'Skilling Baseline'!H65</x:f>
        <x:v>15046.243902439028</x:v>
      </x:c>
    </x:row>
    <x:row r="17">
      <x:c r="A17" s="5" t="n">
        <x:v>2</x:v>
      </x:c>
      <x:c r="B17" s="5" t="n">
        <x:v>5</x:v>
      </x:c>
      <x:c r="C17" t="str">
        <x:v>Fishing</x:v>
      </x:c>
      <x:c r="D17" t="str">
        <x:v>Rocks</x:v>
      </x:c>
      <x:c r="E17" s="9" t="n">
        <x:v>4</x:v>
      </x:c>
      <x:c r="F17" s="9" t="n">
        <x:f>'Skilling Baseline'!H89</x:f>
        <x:v>3780</x:v>
      </x:c>
    </x:row>
    <x:row r="18">
      <x:c r="A18" s="5" t="n">
        <x:v>2</x:v>
      </x:c>
      <x:c r="B18" s="5" t="n">
        <x:v>5</x:v>
      </x:c>
      <x:c r="C18" t="str">
        <x:v>Fishing</x:v>
      </x:c>
      <x:c r="D18" t="str">
        <x:v>Dock Edge</x:v>
      </x:c>
      <x:c r="E18" s="9" t="n">
        <x:v>7</x:v>
      </x:c>
      <x:c r="F18" s="9" t="n">
        <x:f>'Skilling Baseline'!H90</x:f>
        <x:v>3240</x:v>
      </x:c>
    </x:row>
    <x:row r="19">
      <x:c r="A19" s="5" t="n">
        <x:v>3</x:v>
      </x:c>
      <x:c r="B19" s="5" t="n">
        <x:v>52</x:v>
      </x:c>
      <x:c r="C19" t="str">
        <x:v>Thieving</x:v>
      </x:c>
      <x:c r="D19" t="str">
        <x:v>Crack The Shipwright's Lockbox</x:v>
      </x:c>
      <x:c r="E19" s="9" t="n">
        <x:v>50</x:v>
      </x:c>
      <x:c r="F19" s="9" t="n">
        <x:f>'Skilling Baseline'!H21</x:f>
        <x:v>49360.14159292036</x:v>
      </x:c>
    </x:row>
    <x:row r="20">
      <x:c r="A20" s="5" t="n">
        <x:v>3</x:v>
      </x:c>
      <x:c r="B20" s="5" t="n">
        <x:v>52</x:v>
      </x:c>
      <x:c r="C20" t="str">
        <x:v>Thieving</x:v>
      </x:c>
      <x:c r="D20" t="str">
        <x:v>Steal Fortune Password</x:v>
      </x:c>
      <x:c r="E20" s="9" t="n">
        <x:v>51</x:v>
      </x:c>
      <x:c r="F20" s="9" t="n">
        <x:f>'Skilling Baseline'!H22</x:f>
        <x:v>50018.96907216495</x:v>
      </x:c>
    </x:row>
    <x:row r="21">
      <x:c r="A21" s="5" t="n">
        <x:v>3</x:v>
      </x:c>
      <x:c r="B21" s="5" t="n">
        <x:v>52</x:v>
      </x:c>
      <x:c r="C21" t="str">
        <x:v>Building</x:v>
      </x:c>
      <x:c r="D21" t="str">
        <x:v>Raise Guild Hall</x:v>
      </x:c>
      <x:c r="E21" s="9" t="n">
        <x:v>49</x:v>
      </x:c>
      <x:c r="F21" s="9" t="n">
        <x:f>'Skilling Baseline'!H50</x:f>
        <x:v>50243.25960419091</x:v>
      </x:c>
    </x:row>
    <x:row r="22">
      <x:c r="A22" s="5" t="n">
        <x:v>3</x:v>
      </x:c>
      <x:c r="B22" s="5" t="n">
        <x:v>52</x:v>
      </x:c>
      <x:c r="C22" t="str">
        <x:v>Building</x:v>
      </x:c>
      <x:c r="D22" t="str">
        <x:v>Build Market Stall</x:v>
      </x:c>
      <x:c r="E22" s="9" t="n">
        <x:v>55</x:v>
      </x:c>
      <x:c r="F22" s="9" t="n">
        <x:f>'Skilling Baseline'!H51</x:f>
        <x:v>53256.701461377874</x:v>
      </x:c>
    </x:row>
    <x:row r="23">
      <x:c r="A23" s="5" t="n">
        <x:v>3</x:v>
      </x:c>
      <x:c r="B23" s="5" t="n">
        <x:v>52</x:v>
      </x:c>
      <x:c r="C23" t="str">
        <x:v>Woodcutting</x:v>
      </x:c>
      <x:c r="D23" t="str">
        <x:v>Clear Mystic Timberland</x:v>
      </x:c>
      <x:c r="E23" s="9" t="n">
        <x:v>49</x:v>
      </x:c>
      <x:c r="F23" s="9" t="n">
        <x:f>'Skilling Baseline'!H75</x:f>
        <x:v>34600.44943820225</x:v>
      </x:c>
    </x:row>
    <x:row r="24">
      <x:c r="A24" s="5" t="n">
        <x:v>3</x:v>
      </x:c>
      <x:c r="B24" s="5" t="n">
        <x:v>52</x:v>
      </x:c>
      <x:c r="C24" t="str">
        <x:v>Woodcutting</x:v>
      </x:c>
      <x:c r="D24" t="str">
        <x:v>Harvest Tree Apology</x:v>
      </x:c>
      <x:c r="E24" s="9" t="n">
        <x:v>54</x:v>
      </x:c>
      <x:c r="F24" s="9" t="n">
        <x:f>'Skilling Baseline'!H76</x:f>
        <x:v>36896.32653061225</x:v>
      </x:c>
    </x:row>
    <x:row r="25">
      <x:c r="A25" s="5" t="n">
        <x:v>3</x:v>
      </x:c>
      <x:c r="B25" s="5" t="n">
        <x:v>52</x:v>
      </x:c>
      <x:c r="C25" t="str">
        <x:v>Fishing</x:v>
      </x:c>
      <x:c r="D25" t="str">
        <x:v>Rowboat</x:v>
      </x:c>
      <x:c r="E25" s="9" t="n">
        <x:v>50</x:v>
      </x:c>
      <x:c r="F25" s="9" t="n">
        <x:f>'Skilling Baseline'!H102</x:f>
        <x:v>24745.499999999996</x:v>
      </x:c>
    </x:row>
    <x:row r="26">
      <x:c r="A26" s="5" t="n">
        <x:v>3</x:v>
      </x:c>
      <x:c r="B26" s="5" t="n">
        <x:v>52</x:v>
      </x:c>
      <x:c r="C26" t="str">
        <x:v>Fishing</x:v>
      </x:c>
      <x:c r="D26" t="str">
        <x:v>Open Water</x:v>
      </x:c>
      <x:c r="E26" s="9" t="n">
        <x:v>52</x:v>
      </x:c>
      <x:c r="F26" s="9" t="n">
        <x:f>'Skilling Baseline'!H103</x:f>
        <x:v>29282.4</x:v>
      </x:c>
    </x:row>
    <x:row r="27">
      <x:c r="A27" s="5" t="n">
        <x:v>4</x:v>
      </x:c>
      <x:c r="B27" s="5" t="n">
        <x:v>99</x:v>
      </x:c>
      <x:c r="C27" t="str">
        <x:v>Fishing</x:v>
      </x:c>
      <x:c r="D27" t="str">
        <x:v>Reflection</x:v>
      </x:c>
      <x:c r="E27" s="9" t="n">
        <x:v>95</x:v>
      </x:c>
      <x:c r="F27" s="9" t="n">
        <x:f>'Skilling Baseline'!H115</x:f>
        <x:v>439110.00000000006</x:v>
      </x:c>
    </x:row>
    <x:row r="28">
      <x:c r="A28" s="5" t="n">
        <x:v>5</x:v>
      </x:c>
      <x:c r="B28" s="5" t="n">
        <x:v>16</x:v>
      </x:c>
      <x:c r="C28" t="str">
        <x:v>Thieving</x:v>
      </x:c>
      <x:c r="D28" t="str">
        <x:v>Steal Mannequin Wallet</x:v>
      </x:c>
      <x:c r="E28" s="9" t="n">
        <x:v>15</x:v>
      </x:c>
      <x:c r="F28" s="9" t="n">
        <x:f>'Skilling Baseline'!H11</x:f>
        <x:v>23878.928571428572</x:v>
      </x:c>
    </x:row>
    <x:row r="29">
      <x:c r="A29" s="5" t="n">
        <x:v>5</x:v>
      </x:c>
      <x:c r="B29" s="5" t="n">
        <x:v>16</x:v>
      </x:c>
      <x:c r="C29" t="str">
        <x:v>Thieving</x:v>
      </x:c>
      <x:c r="D29" t="str">
        <x:v>Rob The Tiny Bank Desk</x:v>
      </x:c>
      <x:c r="E29" s="9" t="n">
        <x:v>18</x:v>
      </x:c>
      <x:c r="F29" s="9" t="n">
        <x:f>'Skilling Baseline'!H12</x:f>
        <x:v>27241.518987341773</x:v>
      </x:c>
    </x:row>
    <x:row r="30">
      <x:c r="A30" s="5" t="n">
        <x:v>5</x:v>
      </x:c>
      <x:c r="B30" s="5" t="n">
        <x:v>16</x:v>
      </x:c>
      <x:c r="C30" t="str">
        <x:v>Building</x:v>
      </x:c>
      <x:c r="D30" t="str">
        <x:v>Roof The Roofless</x:v>
      </x:c>
      <x:c r="E30" s="9" t="n">
        <x:v>14</x:v>
      </x:c>
      <x:c r="F30" s="9" t="n">
        <x:f>'Skilling Baseline'!H40</x:f>
        <x:v>19289.634146341465</x:v>
      </x:c>
    </x:row>
    <x:row r="31">
      <x:c r="A31" s="5" t="n">
        <x:v>5</x:v>
      </x:c>
      <x:c r="B31" s="5" t="n">
        <x:v>16</x:v>
      </x:c>
      <x:c r="C31" t="str">
        <x:v>Building</x:v>
      </x:c>
      <x:c r="D31" t="str">
        <x:v>Frame A Treehouse Platform</x:v>
      </x:c>
      <x:c r="E31" s="9" t="n">
        <x:v>16</x:v>
      </x:c>
      <x:c r="F31" s="9" t="n">
        <x:f>'Skilling Baseline'!H41</x:f>
        <x:v>22439.31428571429</x:v>
      </x:c>
    </x:row>
    <x:row r="32">
      <x:c r="A32" s="5" t="n">
        <x:v>5</x:v>
      </x:c>
      <x:c r="B32" s="5" t="n">
        <x:v>16</x:v>
      </x:c>
      <x:c r="C32" t="str">
        <x:v>Building</x:v>
      </x:c>
      <x:c r="D32" t="str">
        <x:v>Pour Questionable Foundation</x:v>
      </x:c>
      <x:c r="E32" s="9" t="n">
        <x:v>17</x:v>
      </x:c>
      <x:c r="F32" s="9" t="n">
        <x:f>'Skilling Baseline'!H42</x:f>
        <x:v>24801.904761904763</x:v>
      </x:c>
    </x:row>
    <x:row r="33">
      <x:c r="A33" s="5" t="n">
        <x:v>5</x:v>
      </x:c>
      <x:c r="B33" s="5" t="n">
        <x:v>16</x:v>
      </x:c>
      <x:c r="C33" t="str">
        <x:v>Woodcutting</x:v>
      </x:c>
      <x:c r="D33" t="str">
        <x:v>Prune Orchard Row</x:v>
      </x:c>
      <x:c r="E33" s="9" t="n">
        <x:v>13</x:v>
      </x:c>
      <x:c r="F33" s="9" t="n">
        <x:f>'Skilling Baseline'!H66</x:f>
        <x:v>17900.689655172417</x:v>
      </x:c>
    </x:row>
    <x:row r="34">
      <x:c r="A34" s="5" t="n">
        <x:v>5</x:v>
      </x:c>
      <x:c r="B34" s="5" t="n">
        <x:v>16</x:v>
      </x:c>
      <x:c r="C34" t="str">
        <x:v>Woodcutting</x:v>
      </x:c>
      <x:c r="D34" t="str">
        <x:v>Fell Skinny Pine</x:v>
      </x:c>
      <x:c r="E34" s="9" t="n">
        <x:v>15</x:v>
      </x:c>
      <x:c r="F34" s="9" t="n">
        <x:f>'Skilling Baseline'!H67</x:f>
        <x:v>18668.936170212768</x:v>
      </x:c>
    </x:row>
    <x:row r="35">
      <x:c r="A35" s="5" t="n">
        <x:v>5</x:v>
      </x:c>
      <x:c r="B35" s="5" t="n">
        <x:v>16</x:v>
      </x:c>
      <x:c r="C35" t="str">
        <x:v>Woodcutting</x:v>
      </x:c>
      <x:c r="D35" t="str">
        <x:v>Chop Knotty Maple</x:v>
      </x:c>
      <x:c r="E35" s="9" t="n">
        <x:v>16</x:v>
      </x:c>
      <x:c r="F35" s="9" t="n">
        <x:f>'Skilling Baseline'!H68</x:f>
        <x:v>19332.71523178808</x:v>
      </x:c>
    </x:row>
    <x:row r="36">
      <x:c r="A36" s="5" t="n">
        <x:v>5</x:v>
      </x:c>
      <x:c r="B36" s="5" t="n">
        <x:v>16</x:v>
      </x:c>
      <x:c r="C36" t="str">
        <x:v>Fishing</x:v>
      </x:c>
      <x:c r="D36" t="str">
        <x:v>River Bend</x:v>
      </x:c>
      <x:c r="E36" s="9" t="n">
        <x:v>14</x:v>
      </x:c>
      <x:c r="F36" s="9" t="n">
        <x:f>'Skilling Baseline'!H92</x:f>
        <x:v>3861</x:v>
      </x:c>
    </x:row>
    <x:row r="37">
      <x:c r="A37" s="5" t="n">
        <x:v>5</x:v>
      </x:c>
      <x:c r="B37" s="5" t="n">
        <x:v>16</x:v>
      </x:c>
      <x:c r="C37" t="str">
        <x:v>Fishing</x:v>
      </x:c>
      <x:c r="D37" t="str">
        <x:v>Rapids</x:v>
      </x:c>
      <x:c r="E37" s="9" t="n">
        <x:v>18</x:v>
      </x:c>
      <x:c r="F37" s="9" t="n">
        <x:f>'Skilling Baseline'!H93</x:f>
        <x:v>13611.599999999999</x:v>
      </x:c>
    </x:row>
    <x:row r="38">
      <x:c r="A38" s="5" t="n">
        <x:v>6</x:v>
      </x:c>
      <x:c r="B38" s="5" t="n">
        <x:v>58</x:v>
      </x:c>
      <x:c r="C38" t="str">
        <x:v>Thieving</x:v>
      </x:c>
      <x:c r="D38" t="str">
        <x:v>Pickpocket Camera</x:v>
      </x:c>
      <x:c r="E38" s="9" t="n">
        <x:v>57</x:v>
      </x:c>
      <x:c r="F38" s="9" t="n">
        <x:f>'Skilling Baseline'!H23</x:f>
        <x:v>53412.17391304348</x:v>
      </x:c>
    </x:row>
    <x:row r="39">
      <x:c r="A39" s="5" t="n">
        <x:v>6</x:v>
      </x:c>
      <x:c r="B39" s="5" t="n">
        <x:v>58</x:v>
      </x:c>
      <x:c r="C39" t="str">
        <x:v>Building</x:v>
      </x:c>
      <x:c r="D39" t="str">
        <x:v>Build Market Stall</x:v>
      </x:c>
      <x:c r="E39" s="9" t="n">
        <x:v>55</x:v>
      </x:c>
      <x:c r="F39" s="9" t="n">
        <x:f>'Skilling Baseline'!H51</x:f>
        <x:v>53256.701461377874</x:v>
      </x:c>
    </x:row>
    <x:row r="40">
      <x:c r="A40" s="5" t="n">
        <x:v>6</x:v>
      </x:c>
      <x:c r="B40" s="5" t="n">
        <x:v>58</x:v>
      </x:c>
      <x:c r="C40" t="str">
        <x:v>Building</x:v>
      </x:c>
      <x:c r="D40" t="str">
        <x:v>Build Tall Silo</x:v>
      </x:c>
      <x:c r="E40" s="9" t="n">
        <x:v>60</x:v>
      </x:c>
      <x:c r="F40" s="9" t="n">
        <x:f>'Skilling Baseline'!H52</x:f>
        <x:v>57177.406340057634</x:v>
      </x:c>
    </x:row>
    <x:row r="41">
      <x:c r="A41" s="5" t="n">
        <x:v>6</x:v>
      </x:c>
      <x:c r="B41" s="5" t="n">
        <x:v>58</x:v>
      </x:c>
      <x:c r="C41" t="str">
        <x:v>Woodcutting</x:v>
      </x:c>
      <x:c r="D41" t="str">
        <x:v>Fight Ent</x:v>
      </x:c>
      <x:c r="E41" s="9" t="n">
        <x:v>56</x:v>
      </x:c>
      <x:c r="F41" s="9" t="n">
        <x:f>'Skilling Baseline'!H77</x:f>
        <x:v>39008.34782608696</x:v>
      </x:c>
    </x:row>
    <x:row r="42">
      <x:c r="A42" s="5" t="n">
        <x:v>6</x:v>
      </x:c>
      <x:c r="B42" s="5" t="n">
        <x:v>58</x:v>
      </x:c>
      <x:c r="C42" t="str">
        <x:v>Woodcutting</x:v>
      </x:c>
      <x:c r="D42" t="str">
        <x:v>Fell Tree That Remembers You</x:v>
      </x:c>
      <x:c r="E42" s="9" t="n">
        <x:v>60</x:v>
      </x:c>
      <x:c r="F42" s="9" t="n">
        <x:f>'Skilling Baseline'!H78</x:f>
        <x:v>39554.219653179185</x:v>
      </x:c>
    </x:row>
    <x:row r="43">
      <x:c r="A43" s="5" t="n">
        <x:v>6</x:v>
      </x:c>
      <x:c r="B43" s="5" t="n">
        <x:v>58</x:v>
      </x:c>
      <x:c r="C43" t="str">
        <x:v>Fishing</x:v>
      </x:c>
      <x:c r="D43" t="str">
        <x:v>Fight A Shark</x:v>
      </x:c>
      <x:c r="E43" s="9" t="n">
        <x:v>56</x:v>
      </x:c>
      <x:c r="F43" s="9" t="n">
        <x:f>'Skilling Baseline'!H104</x:f>
        <x:v>30092.4</x:v>
      </x:c>
    </x:row>
    <x:row r="44">
      <x:c r="A44" s="5" t="n">
        <x:v>6</x:v>
      </x:c>
      <x:c r="B44" s="5" t="n">
        <x:v>58</x:v>
      </x:c>
      <x:c r="C44" t="str">
        <x:v>Fishing</x:v>
      </x:c>
      <x:c r="D44" t="str">
        <x:v>Night Reef</x:v>
      </x:c>
      <x:c r="E44" s="9" t="n">
        <x:v>58</x:v>
      </x:c>
      <x:c r="F44" s="9" t="n">
        <x:f>'Skilling Baseline'!H105</x:f>
        <x:v>31828.5</x:v>
      </x:c>
    </x:row>
    <x:row r="45">
      <x:c r="A45" s="5" t="n">
        <x:v>6</x:v>
      </x:c>
      <x:c r="B45" s="5" t="n">
        <x:v>58</x:v>
      </x:c>
      <x:c r="C45" t="str">
        <x:v>Fishing</x:v>
      </x:c>
      <x:c r="D45" t="str">
        <x:v>Loot A Pirate Ship</x:v>
      </x:c>
      <x:c r="E45" s="9" t="n">
        <x:v>60</x:v>
      </x:c>
      <x:c r="F45" s="9" t="n">
        <x:f>'Skilling Baseline'!H106</x:f>
        <x:v>20476.8</x:v>
      </x:c>
    </x:row>
    <x:row r="46">
      <x:c r="A46" s="5" t="n">
        <x:v>7</x:v>
      </x:c>
      <x:c r="B46" s="5" t="n">
        <x:v>99</x:v>
      </x:c>
      <x:c r="C46" t="str">
        <x:v>Fishing</x:v>
      </x:c>
      <x:c r="D46" t="str">
        <x:v>Reflection</x:v>
      </x:c>
      <x:c r="E46" s="9" t="n">
        <x:v>95</x:v>
      </x:c>
      <x:c r="F46" s="9" t="n">
        <x:f>'Skilling Baseline'!H115</x:f>
        <x:v>439110.00000000006</x:v>
      </x:c>
    </x:row>
    <x:row r="47">
      <x:c r="A47" s="5" t="n">
        <x:v>8</x:v>
      </x:c>
      <x:c r="B47" s="5" t="n">
        <x:v>24</x:v>
      </x:c>
      <x:c r="C47" t="str">
        <x:v>Thieving</x:v>
      </x:c>
      <x:c r="D47" t="str">
        <x:v>Crack Snack Safe</x:v>
      </x:c>
      <x:c r="E47" s="9" t="n">
        <x:v>22</x:v>
      </x:c>
      <x:c r="F47" s="9" t="n">
        <x:f>'Skilling Baseline'!H13</x:f>
        <x:v>26209.840255591058</x:v>
      </x:c>
    </x:row>
    <x:row r="48">
      <x:c r="A48" s="5" t="n">
        <x:v>8</x:v>
      </x:c>
      <x:c r="B48" s="5" t="n">
        <x:v>24</x:v>
      </x:c>
      <x:c r="C48" t="str">
        <x:v>Thieving</x:v>
      </x:c>
      <x:c r="D48" t="str">
        <x:v>Skip Taxes</x:v>
      </x:c>
      <x:c r="E48" s="9" t="n">
        <x:v>26</x:v>
      </x:c>
      <x:c r="F48" s="9" t="n">
        <x:f>'Skilling Baseline'!H14</x:f>
        <x:v>30783.23353293413</x:v>
      </x:c>
    </x:row>
    <x:row r="49">
      <x:c r="A49" s="5" t="n">
        <x:v>8</x:v>
      </x:c>
      <x:c r="B49" s="5" t="n">
        <x:v>24</x:v>
      </x:c>
      <x:c r="C49" t="str">
        <x:v>Building</x:v>
      </x:c>
      <x:c r="D49" t="str">
        <x:v>Upgrade Training Yard</x:v>
      </x:c>
      <x:c r="E49" s="9" t="n">
        <x:v>21</x:v>
      </x:c>
      <x:c r="F49" s="9" t="n">
        <x:f>'Skilling Baseline'!H43</x:f>
        <x:v>26044.026845637585</x:v>
      </x:c>
    </x:row>
    <x:row r="50">
      <x:c r="A50" s="5" t="n">
        <x:v>8</x:v>
      </x:c>
      <x:c r="B50" s="5" t="n">
        <x:v>24</x:v>
      </x:c>
      <x:c r="C50" t="str">
        <x:v>Building</x:v>
      </x:c>
      <x:c r="D50" t="str">
        <x:v>Build A Decoy Vault</x:v>
      </x:c>
      <x:c r="E50" s="9" t="n">
        <x:v>22</x:v>
      </x:c>
      <x:c r="F50" s="9" t="n">
        <x:f>'Skilling Baseline'!H44</x:f>
        <x:v>27112.118644067796</x:v>
      </x:c>
    </x:row>
    <x:row r="51">
      <x:c r="A51" s="5" t="n">
        <x:v>8</x:v>
      </x:c>
      <x:c r="B51" s="5" t="n">
        <x:v>24</x:v>
      </x:c>
      <x:c r="C51" t="str">
        <x:v>Building</x:v>
      </x:c>
      <x:c r="D51" t="str">
        <x:v>Construct Fishing Pier</x:v>
      </x:c>
      <x:c r="E51" s="9" t="n">
        <x:v>25</x:v>
      </x:c>
      <x:c r="F51" s="9" t="n">
        <x:f>'Skilling Baseline'!H45</x:f>
        <x:v>29456.75675675676</x:v>
      </x:c>
    </x:row>
    <x:row r="52">
      <x:c r="A52" s="5" t="n">
        <x:v>8</x:v>
      </x:c>
      <x:c r="B52" s="5" t="n">
        <x:v>24</x:v>
      </x:c>
      <x:c r="C52" t="str">
        <x:v>Woodcutting</x:v>
      </x:c>
      <x:c r="D52" t="str">
        <x:v>Clear Dense Grove</x:v>
      </x:c>
      <x:c r="E52" s="9" t="n">
        <x:v>24</x:v>
      </x:c>
      <x:c r="F52" s="9" t="n">
        <x:f>'Skilling Baseline'!H69</x:f>
        <x:v>21498.48341232228</x:v>
      </x:c>
    </x:row>
    <x:row r="53">
      <x:c r="A53" s="5" t="n">
        <x:v>8</x:v>
      </x:c>
      <x:c r="B53" s="5" t="n">
        <x:v>24</x:v>
      </x:c>
      <x:c r="C53" t="str">
        <x:v>Woodcutting</x:v>
      </x:c>
      <x:c r="D53" t="str">
        <x:v>Fell Oak Tree</x:v>
      </x:c>
      <x:c r="E53" s="9" t="n">
        <x:v>26</x:v>
      </x:c>
      <x:c r="F53" s="9" t="n">
        <x:f>'Skilling Baseline'!H70</x:f>
        <x:v>24200.54794520548</x:v>
      </x:c>
    </x:row>
    <x:row r="54">
      <x:c r="A54" s="5" t="n">
        <x:v>8</x:v>
      </x:c>
      <x:c r="B54" s="5" t="n">
        <x:v>24</x:v>
      </x:c>
      <x:c r="C54" t="str">
        <x:v>Fishing</x:v>
      </x:c>
      <x:c r="D54" t="str">
        <x:v>Drain Gate</x:v>
      </x:c>
      <x:c r="E54" s="9" t="n">
        <x:v>22</x:v>
      </x:c>
      <x:c r="F54" s="9" t="n">
        <x:f>'Skilling Baseline'!H94</x:f>
        <x:v>16740</x:v>
      </x:c>
    </x:row>
    <x:row r="55">
      <x:c r="A55" s="5" t="n">
        <x:v>8</x:v>
      </x:c>
      <x:c r="B55" s="5" t="n">
        <x:v>24</x:v>
      </x:c>
      <x:c r="C55" t="str">
        <x:v>Fishing</x:v>
      </x:c>
      <x:c r="D55" t="str">
        <x:v>Fight Rat King</x:v>
      </x:c>
      <x:c r="E55" s="9" t="n">
        <x:v>24</x:v>
      </x:c>
      <x:c r="F55" s="9" t="n">
        <x:f>'Skilling Baseline'!H95</x:f>
        <x:v>1581.3</x:v>
      </x:c>
    </x:row>
    <x:row r="56">
      <x:c r="A56" s="5" t="n">
        <x:v>8</x:v>
      </x:c>
      <x:c r="B56" s="5" t="n">
        <x:v>24</x:v>
      </x:c>
      <x:c r="C56" t="str">
        <x:v>Fishing</x:v>
      </x:c>
      <x:c r="D56" t="str">
        <x:v>Tunnel Pool</x:v>
      </x:c>
      <x:c r="E56" s="9" t="n">
        <x:v>26</x:v>
      </x:c>
      <x:c r="F56" s="9" t="n">
        <x:f>'Skilling Baseline'!H96</x:f>
        <x:v>21740.399999999998</x:v>
      </x:c>
    </x:row>
    <x:row r="57">
      <x:c r="A57" s="5" t="n">
        <x:v>9</x:v>
      </x:c>
      <x:c r="B57" s="5" t="n">
        <x:v>62</x:v>
      </x:c>
      <x:c r="C57" t="str">
        <x:v>Thieving</x:v>
      </x:c>
      <x:c r="D57" t="str">
        <x:v>Hotwire Alien Ship</x:v>
      </x:c>
      <x:c r="E57" s="9" t="n">
        <x:v>62</x:v>
      </x:c>
      <x:c r="F57" s="9" t="n">
        <x:f>'Skilling Baseline'!H24</x:f>
        <x:v>52111.14893617021</x:v>
      </x:c>
    </x:row>
    <x:row r="58">
      <x:c r="A58" s="5" t="n">
        <x:v>9</x:v>
      </x:c>
      <x:c r="B58" s="5" t="n">
        <x:v>62</x:v>
      </x:c>
      <x:c r="C58" t="str">
        <x:v>Building</x:v>
      </x:c>
      <x:c r="D58" t="str">
        <x:v>Build Tall Silo</x:v>
      </x:c>
      <x:c r="E58" s="9" t="n">
        <x:v>60</x:v>
      </x:c>
      <x:c r="F58" s="9" t="n">
        <x:f>'Skilling Baseline'!H52</x:f>
        <x:v>57177.406340057634</x:v>
      </x:c>
    </x:row>
    <x:row r="59">
      <x:c r="A59" s="5" t="n">
        <x:v>9</x:v>
      </x:c>
      <x:c r="B59" s="5" t="n">
        <x:v>62</x:v>
      </x:c>
      <x:c r="C59" t="str">
        <x:v>Building</x:v>
      </x:c>
      <x:c r="D59" t="str">
        <x:v>Install Elevator</x:v>
      </x:c>
      <x:c r="E59" s="9" t="n">
        <x:v>65</x:v>
      </x:c>
      <x:c r="F59" s="9" t="n">
        <x:f>'Skilling Baseline'!H53</x:f>
        <x:v>58765.68383658969</x:v>
      </x:c>
    </x:row>
    <x:row r="60">
      <x:c r="A60" s="5" t="n">
        <x:v>9</x:v>
      </x:c>
      <x:c r="B60" s="5" t="n">
        <x:v>62</x:v>
      </x:c>
      <x:c r="C60" t="str">
        <x:v>Woodcutting</x:v>
      </x:c>
      <x:c r="D60" t="str">
        <x:v>Fell Tree That Remembers You</x:v>
      </x:c>
      <x:c r="E60" s="9" t="n">
        <x:v>60</x:v>
      </x:c>
      <x:c r="F60" s="9" t="n">
        <x:f>'Skilling Baseline'!H78</x:f>
        <x:v>39554.219653179185</x:v>
      </x:c>
    </x:row>
    <x:row r="61">
      <x:c r="A61" s="5" t="n">
        <x:v>9</x:v>
      </x:c>
      <x:c r="B61" s="5" t="n">
        <x:v>62</x:v>
      </x:c>
      <x:c r="C61" t="str">
        <x:v>Woodcutting</x:v>
      </x:c>
      <x:c r="D61" t="str">
        <x:v>Carve The Guild's Trophy Oar</x:v>
      </x:c>
      <x:c r="E61" s="9" t="n">
        <x:v>62</x:v>
      </x:c>
      <x:c r="F61" s="9" t="n">
        <x:f>'Skilling Baseline'!H79</x:f>
        <x:v>39813.98882681565</x:v>
      </x:c>
    </x:row>
    <x:row r="62">
      <x:c r="A62" s="5" t="n">
        <x:v>9</x:v>
      </x:c>
      <x:c r="B62" s="5" t="n">
        <x:v>62</x:v>
      </x:c>
      <x:c r="C62" t="str">
        <x:v>Fishing</x:v>
      </x:c>
      <x:c r="D62" t="str">
        <x:v>Loot A Pirate Ship</x:v>
      </x:c>
      <x:c r="E62" s="9" t="n">
        <x:v>60</x:v>
      </x:c>
      <x:c r="F62" s="9" t="n">
        <x:f>'Skilling Baseline'!H106</x:f>
        <x:v>20476.8</x:v>
      </x:c>
    </x:row>
    <x:row r="63">
      <x:c r="A63" s="5" t="n">
        <x:v>9</x:v>
      </x:c>
      <x:c r="B63" s="5" t="n">
        <x:v>62</x:v>
      </x:c>
      <x:c r="C63" t="str">
        <x:v>Fishing</x:v>
      </x:c>
      <x:c r="D63" t="str">
        <x:v>Storm Ripple</x:v>
      </x:c>
      <x:c r="E63" s="9" t="n">
        <x:v>64</x:v>
      </x:c>
      <x:c r="F63" s="9" t="n">
        <x:f>'Skilling Baseline'!H107</x:f>
        <x:v>34092.9</x:v>
      </x:c>
    </x:row>
    <x:row r="64">
      <x:c r="A64" s="5" t="n">
        <x:v>10</x:v>
      </x:c>
      <x:c r="B64" s="5" t="n">
        <x:v>99</x:v>
      </x:c>
      <x:c r="C64" t="str">
        <x:v>Fishing</x:v>
      </x:c>
      <x:c r="D64" t="str">
        <x:v>Reflection</x:v>
      </x:c>
      <x:c r="E64" s="9" t="n">
        <x:v>95</x:v>
      </x:c>
      <x:c r="F64" s="9" t="n">
        <x:f>'Skilling Baseline'!H115</x:f>
        <x:v>439110.00000000006</x:v>
      </x:c>
    </x:row>
    <x:row r="65">
      <x:c r="A65" s="5" t="n">
        <x:v>11</x:v>
      </x:c>
      <x:c r="B65" s="5" t="n">
        <x:v>32</x:v>
      </x:c>
      <x:c r="C65" t="str">
        <x:v>Thieving</x:v>
      </x:c>
      <x:c r="D65" t="str">
        <x:v>Heist The Museum Gift Shop</x:v>
      </x:c>
      <x:c r="E65" s="9" t="n">
        <x:v>30</x:v>
      </x:c>
      <x:c r="F65" s="9" t="n">
        <x:f>'Skilling Baseline'!H15</x:f>
        <x:v>33217.50000000001</x:v>
      </x:c>
    </x:row>
    <x:row r="66">
      <x:c r="A66" s="5" t="n">
        <x:v>11</x:v>
      </x:c>
      <x:c r="B66" s="5" t="n">
        <x:v>32</x:v>
      </x:c>
      <x:c r="C66" t="str">
        <x:v>Thieving</x:v>
      </x:c>
      <x:c r="D66" t="str">
        <x:v>Scope Out A Heist</x:v>
      </x:c>
      <x:c r="E66" s="9" t="n">
        <x:v>34</x:v>
      </x:c>
      <x:c r="F66" s="9" t="n">
        <x:f>'Skilling Baseline'!H16</x:f>
        <x:v>37018.799999999996</x:v>
      </x:c>
    </x:row>
    <x:row r="67">
      <x:c r="A67" s="5" t="n">
        <x:v>11</x:v>
      </x:c>
      <x:c r="B67" s="5" t="n">
        <x:v>32</x:v>
      </x:c>
      <x:c r="C67" t="str">
        <x:v>Thieving</x:v>
      </x:c>
      <x:c r="D67" t="str">
        <x:v>Practice Cracking Vault</x:v>
      </x:c>
      <x:c r="E67" s="9" t="n">
        <x:v>35</x:v>
      </x:c>
      <x:c r="F67" s="9" t="n">
        <x:f>'Skilling Baseline'!H17</x:f>
        <x:v>39468.29268292683</x:v>
      </x:c>
    </x:row>
    <x:row r="68">
      <x:c r="A68" s="5" t="n">
        <x:v>11</x:v>
      </x:c>
      <x:c r="B68" s="5" t="n">
        <x:v>32</x:v>
      </x:c>
      <x:c r="C68" t="str">
        <x:v>Building</x:v>
      </x:c>
      <x:c r="D68" t="str">
        <x:v>Raise A Two Story Barn</x:v>
      </x:c>
      <x:c r="E68" s="9" t="n">
        <x:v>29</x:v>
      </x:c>
      <x:c r="F68" s="9" t="n">
        <x:f>'Skilling Baseline'!H46</x:f>
        <x:v>35360.85561497326</x:v>
      </x:c>
    </x:row>
    <x:row r="69">
      <x:c r="A69" s="5" t="n">
        <x:v>11</x:v>
      </x:c>
      <x:c r="B69" s="5" t="n">
        <x:v>32</x:v>
      </x:c>
      <x:c r="C69" t="str">
        <x:v>Building</x:v>
      </x:c>
      <x:c r="D69" t="str">
        <x:v>Build Town Notice Board</x:v>
      </x:c>
      <x:c r="E69" s="9" t="n">
        <x:v>34</x:v>
      </x:c>
      <x:c r="F69" s="9" t="n">
        <x:f>'Skilling Baseline'!H47</x:f>
        <x:v>38899.50464396284</x:v>
      </x:c>
    </x:row>
    <x:row r="70">
      <x:c r="A70" s="5" t="n">
        <x:v>11</x:v>
      </x:c>
      <x:c r="B70" s="5" t="n">
        <x:v>32</x:v>
      </x:c>
      <x:c r="C70" t="str">
        <x:v>Woodcutting</x:v>
      </x:c>
      <x:c r="D70" t="str">
        <x:v>Carve Through Fallen Giant</x:v>
      </x:c>
      <x:c r="E70" s="9" t="n">
        <x:v>33</x:v>
      </x:c>
      <x:c r="F70" s="9" t="n">
        <x:f>'Skilling Baseline'!H72</x:f>
        <x:v>28250.777988614806</x:v>
      </x:c>
    </x:row>
    <x:row r="71">
      <x:c r="A71" s="5" t="n">
        <x:v>11</x:v>
      </x:c>
      <x:c r="B71" s="5" t="n">
        <x:v>32</x:v>
      </x:c>
      <x:c r="C71" t="str">
        <x:v>Fishing</x:v>
      </x:c>
      <x:c r="D71" t="str">
        <x:v>Reef Pot</x:v>
      </x:c>
      <x:c r="E71" s="9" t="n">
        <x:v>30</x:v>
      </x:c>
      <x:c r="F71" s="9" t="n">
        <x:f>'Skilling Baseline'!H97</x:f>
        <x:v>10948.5</x:v>
      </x:c>
    </x:row>
    <x:row r="72">
      <x:c r="A72" s="5" t="n">
        <x:v>11</x:v>
      </x:c>
      <x:c r="B72" s="5" t="n">
        <x:v>32</x:v>
      </x:c>
      <x:c r="C72" t="str">
        <x:v>Fishing</x:v>
      </x:c>
      <x:c r="D72" t="str">
        <x:v>Anchor Tiny Boat Dock</x:v>
      </x:c>
      <x:c r="E72" s="9" t="n">
        <x:v>32</x:v>
      </x:c>
      <x:c r="F72" s="9" t="n">
        <x:f>'Skilling Baseline'!H98</x:f>
        <x:v>16610.399999999998</x:v>
      </x:c>
    </x:row>
    <x:row r="73">
      <x:c r="A73" s="5" t="n">
        <x:v>11</x:v>
      </x:c>
      <x:c r="B73" s="5" t="n">
        <x:v>32</x:v>
      </x:c>
      <x:c r="C73" t="str">
        <x:v>Fishing</x:v>
      </x:c>
      <x:c r="D73" t="str">
        <x:v>Ice Hole</x:v>
      </x:c>
      <x:c r="E73" s="9" t="n">
        <x:v>34</x:v>
      </x:c>
      <x:c r="F73" s="9" t="n">
        <x:f>'Skilling Baseline'!H99</x:f>
        <x:v>18849.6</x:v>
      </x:c>
    </x:row>
    <x:row r="74">
      <x:c r="A74" s="5" t="n">
        <x:v>12</x:v>
      </x:c>
      <x:c r="B74" s="5" t="n">
        <x:v>66</x:v>
      </x:c>
      <x:c r="C74" t="str">
        <x:v>Thieving</x:v>
      </x:c>
      <x:c r="D74" t="str">
        <x:v>Rob The Alien Spaceship's Bank</x:v>
      </x:c>
      <x:c r="E74" s="9" t="n">
        <x:v>67</x:v>
      </x:c>
      <x:c r="F74" s="9" t="n">
        <x:f>'Skilling Baseline'!H25</x:f>
        <x:v>53385.38987688099</x:v>
      </x:c>
    </x:row>
    <x:row r="75">
      <x:c r="A75" s="5" t="n">
        <x:v>12</x:v>
      </x:c>
      <x:c r="B75" s="5" t="n">
        <x:v>66</x:v>
      </x:c>
      <x:c r="C75" t="str">
        <x:v>Building</x:v>
      </x:c>
      <x:c r="D75" t="str">
        <x:v>Install Elevator</x:v>
      </x:c>
      <x:c r="E75" s="9" t="n">
        <x:v>65</x:v>
      </x:c>
      <x:c r="F75" s="9" t="n">
        <x:f>'Skilling Baseline'!H53</x:f>
        <x:v>58765.68383658969</x:v>
      </x:c>
    </x:row>
    <x:row r="76">
      <x:c r="A76" s="5" t="n">
        <x:v>12</x:v>
      </x:c>
      <x:c r="B76" s="5" t="n">
        <x:v>66</x:v>
      </x:c>
      <x:c r="C76" t="str">
        <x:v>Woodcutting</x:v>
      </x:c>
      <x:c r="D76" t="str">
        <x:v>Chop Invisible Windwood</x:v>
      </x:c>
      <x:c r="E76" s="9" t="n">
        <x:v>66</x:v>
      </x:c>
      <x:c r="F76" s="9" t="n">
        <x:f>'Skilling Baseline'!H80</x:f>
        <x:v>39683.164556962016</x:v>
      </x:c>
    </x:row>
    <x:row r="77">
      <x:c r="A77" s="5" t="n">
        <x:v>12</x:v>
      </x:c>
      <x:c r="B77" s="5" t="n">
        <x:v>66</x:v>
      </x:c>
      <x:c r="C77" t="str">
        <x:v>Fishing</x:v>
      </x:c>
      <x:c r="D77" t="str">
        <x:v>Storm Ripple</x:v>
      </x:c>
      <x:c r="E77" s="9" t="n">
        <x:v>64</x:v>
      </x:c>
      <x:c r="F77" s="9" t="n">
        <x:f>'Skilling Baseline'!H107</x:f>
        <x:v>34092.9</x:v>
      </x:c>
    </x:row>
    <x:row r="78">
      <x:c r="A78" s="5" t="n">
        <x:v>13</x:v>
      </x:c>
      <x:c r="B78" s="5" t="n">
        <x:v>99</x:v>
      </x:c>
      <x:c r="C78" t="str">
        <x:v>Fishing</x:v>
      </x:c>
      <x:c r="D78" t="str">
        <x:v>Reflection</x:v>
      </x:c>
      <x:c r="E78" s="9" t="n">
        <x:v>95</x:v>
      </x:c>
      <x:c r="F78" s="9" t="n">
        <x:f>'Skilling Baseline'!H115</x:f>
        <x:v>439110.00000000006</x:v>
      </x:c>
    </x:row>
    <x:row r="79">
      <x:c r="A79" s="5" t="n">
        <x:v>14</x:v>
      </x:c>
      <x:c r="B79" s="5" t="n">
        <x:v>47</x:v>
      </x:c>
      <x:c r="C79" t="str">
        <x:v>Thieving</x:v>
      </x:c>
      <x:c r="D79" t="str">
        <x:v>Empty The Bank's Backup Bank</x:v>
      </x:c>
      <x:c r="E79" s="9" t="n">
        <x:v>45</x:v>
      </x:c>
      <x:c r="F79" s="9" t="n">
        <x:f>'Skilling Baseline'!H20</x:f>
        <x:v>46663.9534883721</x:v>
      </x:c>
    </x:row>
    <x:row r="80">
      <x:c r="A80" s="5" t="n">
        <x:v>14</x:v>
      </x:c>
      <x:c r="B80" s="5" t="n">
        <x:v>47</x:v>
      </x:c>
      <x:c r="C80" t="str">
        <x:v>Thieving</x:v>
      </x:c>
      <x:c r="D80" t="str">
        <x:v>Crack The Shipwright's Lockbox</x:v>
      </x:c>
      <x:c r="E80" s="9" t="n">
        <x:v>50</x:v>
      </x:c>
      <x:c r="F80" s="9" t="n">
        <x:f>'Skilling Baseline'!H21</x:f>
        <x:v>49360.14159292036</x:v>
      </x:c>
    </x:row>
    <x:row r="81">
      <x:c r="A81" s="5" t="n">
        <x:v>14</x:v>
      </x:c>
      <x:c r="B81" s="5" t="n">
        <x:v>47</x:v>
      </x:c>
      <x:c r="C81" t="str">
        <x:v>Building</x:v>
      </x:c>
      <x:c r="D81" t="str">
        <x:v>Dig Emergency Basement</x:v>
      </x:c>
      <x:c r="E81" s="9" t="n">
        <x:v>44</x:v>
      </x:c>
      <x:c r="F81" s="9" t="n">
        <x:f>'Skilling Baseline'!H49</x:f>
        <x:v>45386.932668329166</x:v>
      </x:c>
    </x:row>
    <x:row r="82">
      <x:c r="A82" s="5" t="n">
        <x:v>14</x:v>
      </x:c>
      <x:c r="B82" s="5" t="n">
        <x:v>47</x:v>
      </x:c>
      <x:c r="C82" t="str">
        <x:v>Building</x:v>
      </x:c>
      <x:c r="D82" t="str">
        <x:v>Raise Guild Hall</x:v>
      </x:c>
      <x:c r="E82" s="9" t="n">
        <x:v>49</x:v>
      </x:c>
      <x:c r="F82" s="9" t="n">
        <x:f>'Skilling Baseline'!H50</x:f>
        <x:v>50243.25960419091</x:v>
      </x:c>
    </x:row>
    <x:row r="83">
      <x:c r="A83" s="5" t="n">
        <x:v>14</x:v>
      </x:c>
      <x:c r="B83" s="5" t="n">
        <x:v>47</x:v>
      </x:c>
      <x:c r="C83" t="str">
        <x:v>Woodcutting</x:v>
      </x:c>
      <x:c r="D83" t="str">
        <x:v>Clear Mystic Timberland</x:v>
      </x:c>
      <x:c r="E83" s="9" t="n">
        <x:v>49</x:v>
      </x:c>
      <x:c r="F83" s="9" t="n">
        <x:f>'Skilling Baseline'!H75</x:f>
        <x:v>34600.44943820225</x:v>
      </x:c>
    </x:row>
    <x:row r="84">
      <x:c r="A84" s="5" t="n">
        <x:v>14</x:v>
      </x:c>
      <x:c r="B84" s="5" t="n">
        <x:v>47</x:v>
      </x:c>
      <x:c r="C84" t="str">
        <x:v>Fishing</x:v>
      </x:c>
      <x:c r="D84" t="str">
        <x:v>Fight Armored Catfish</x:v>
      </x:c>
      <x:c r="E84" s="9" t="n">
        <x:v>44</x:v>
      </x:c>
      <x:c r="F84" s="9" t="n">
        <x:f>'Skilling Baseline'!H100</x:f>
        <x:v>25968.600000000002</x:v>
      </x:c>
    </x:row>
    <x:row r="85">
      <x:c r="A85" s="5" t="n">
        <x:v>14</x:v>
      </x:c>
      <x:c r="B85" s="5" t="n">
        <x:v>47</x:v>
      </x:c>
      <x:c r="C85" t="str">
        <x:v>Fishing</x:v>
      </x:c>
      <x:c r="D85" t="str">
        <x:v>Reef Cage</x:v>
      </x:c>
      <x:c r="E85" s="9" t="n">
        <x:v>46</x:v>
      </x:c>
      <x:c r="F85" s="9" t="n">
        <x:f>'Skilling Baseline'!H101</x:f>
        <x:v>27165.6</x:v>
      </x:c>
    </x:row>
    <x:row r="86">
      <x:c r="A86" s="5" t="n">
        <x:v>14</x:v>
      </x:c>
      <x:c r="B86" s="5" t="n">
        <x:v>47</x:v>
      </x:c>
      <x:c r="C86" t="str">
        <x:v>Fishing</x:v>
      </x:c>
      <x:c r="D86" t="str">
        <x:v>Rowboat</x:v>
      </x:c>
      <x:c r="E86" s="9" t="n">
        <x:v>50</x:v>
      </x:c>
      <x:c r="F86" s="9" t="n">
        <x:f>'Skilling Baseline'!H102</x:f>
        <x:v>24745.499999999996</x:v>
      </x:c>
    </x:row>
    <x:row r="87">
      <x:c r="A87" s="5" t="n">
        <x:v>15</x:v>
      </x:c>
      <x:c r="B87" s="5" t="n">
        <x:v>73</x:v>
      </x:c>
      <x:c r="C87" t="str">
        <x:v>Thieving</x:v>
      </x:c>
      <x:c r="D87" t="str">
        <x:v>Forge A Receipt For The Moon</x:v>
      </x:c>
      <x:c r="E87" s="9" t="n">
        <x:v>71</x:v>
      </x:c>
      <x:c r="F87" s="9" t="n">
        <x:f>'Skilling Baseline'!H26</x:f>
        <x:v>58025.284974093265</x:v>
      </x:c>
    </x:row>
    <x:row r="88">
      <x:c r="A88" s="5" t="n">
        <x:v>15</x:v>
      </x:c>
      <x:c r="B88" s="5" t="n">
        <x:v>73</x:v>
      </x:c>
      <x:c r="C88" t="str">
        <x:v>Thieving</x:v>
      </x:c>
      <x:c r="D88" t="str">
        <x:v>Burgle Wizard Dream</x:v>
      </x:c>
      <x:c r="E88" s="9" t="n">
        <x:v>74</x:v>
      </x:c>
      <x:c r="F88" s="9" t="n">
        <x:f>'Skilling Baseline'!H27</x:f>
        <x:v>62814.50381679389</x:v>
      </x:c>
    </x:row>
    <x:row r="89">
      <x:c r="A89" s="5" t="n">
        <x:v>15</x:v>
      </x:c>
      <x:c r="B89" s="5" t="n">
        <x:v>73</x:v>
      </x:c>
      <x:c r="C89" t="str">
        <x:v>Thieving</x:v>
      </x:c>
      <x:c r="D89" t="str">
        <x:v>Shoplift From Money</x:v>
      </x:c>
      <x:c r="E89" s="9" t="n">
        <x:v>76</x:v>
      </x:c>
      <x:c r="F89" s="9" t="n">
        <x:f>'Skilling Baseline'!H28</x:f>
        <x:v>62500.09478672986</x:v>
      </x:c>
    </x:row>
    <x:row r="90">
      <x:c r="A90" s="5" t="n">
        <x:v>15</x:v>
      </x:c>
      <x:c r="B90" s="5" t="n">
        <x:v>73</x:v>
      </x:c>
      <x:c r="C90" t="str">
        <x:v>Building</x:v>
      </x:c>
      <x:c r="D90" t="str">
        <x:v>Build Elite Tower</x:v>
      </x:c>
      <x:c r="E90" s="9" t="n">
        <x:v>70</x:v>
      </x:c>
      <x:c r="F90" s="9" t="n">
        <x:f>'Skilling Baseline'!H54</x:f>
        <x:v>61637.86259541986</x:v>
      </x:c>
    </x:row>
    <x:row r="91">
      <x:c r="A91" s="5" t="n">
        <x:v>15</x:v>
      </x:c>
      <x:c r="B91" s="5" t="n">
        <x:v>73</x:v>
      </x:c>
      <x:c r="C91" t="str">
        <x:v>Building</x:v>
      </x:c>
      <x:c r="D91" t="str">
        <x:v>Add Second Elite Tower On Top</x:v>
      </x:c>
      <x:c r="E91" s="9" t="n">
        <x:v>73</x:v>
      </x:c>
      <x:c r="F91" s="9" t="n">
        <x:f>'Skilling Baseline'!H55</x:f>
        <x:v>65889.38110749186</x:v>
      </x:c>
    </x:row>
    <x:row r="92">
      <x:c r="A92" s="5" t="n">
        <x:v>15</x:v>
      </x:c>
      <x:c r="B92" s="5" t="n">
        <x:v>73</x:v>
      </x:c>
      <x:c r="C92" t="str">
        <x:v>Building</x:v>
      </x:c>
      <x:c r="D92" t="str">
        <x:v>Construct Underground Town</x:v>
      </x:c>
      <x:c r="E92" s="9" t="n">
        <x:v>75</x:v>
      </x:c>
      <x:c r="F92" s="9" t="n">
        <x:f>'Skilling Baseline'!H56</x:f>
        <x:v>68532.66141732284</x:v>
      </x:c>
    </x:row>
    <x:row r="93">
      <x:c r="A93" s="5" t="n">
        <x:v>15</x:v>
      </x:c>
      <x:c r="B93" s="5" t="n">
        <x:v>73</x:v>
      </x:c>
      <x:c r="C93" t="str">
        <x:v>Woodcutting</x:v>
      </x:c>
      <x:c r="D93" t="str">
        <x:v>Harvest Moonlit Silverwood</x:v>
      </x:c>
      <x:c r="E93" s="9" t="n">
        <x:v>70</x:v>
      </x:c>
      <x:c r="F93" s="9" t="n">
        <x:f>'Skilling Baseline'!H81</x:f>
        <x:v>41699.570112589565</x:v>
      </x:c>
    </x:row>
    <x:row r="94">
      <x:c r="A94" s="5" t="n">
        <x:v>15</x:v>
      </x:c>
      <x:c r="B94" s="5" t="n">
        <x:v>73</x:v>
      </x:c>
      <x:c r="C94" t="str">
        <x:v>Woodcutting</x:v>
      </x:c>
      <x:c r="D94" t="str">
        <x:v>Clear Forest Legal</x:v>
      </x:c>
      <x:c r="E94" s="9" t="n">
        <x:v>73</x:v>
      </x:c>
      <x:c r="F94" s="9" t="n">
        <x:f>'Skilling Baseline'!H82</x:f>
        <x:v>43185.868498527976</x:v>
      </x:c>
    </x:row>
    <x:row r="95">
      <x:c r="A95" s="5" t="n">
        <x:v>15</x:v>
      </x:c>
      <x:c r="B95" s="5" t="n">
        <x:v>73</x:v>
      </x:c>
      <x:c r="C95" t="str">
        <x:v>Woodcutting</x:v>
      </x:c>
      <x:c r="D95" t="str">
        <x:v>Axe World Tree Forms</x:v>
      </x:c>
      <x:c r="E95" s="9" t="n">
        <x:v>75</x:v>
      </x:c>
      <x:c r="F95" s="9" t="n">
        <x:f>'Skilling Baseline'!H83</x:f>
        <x:v>46008</x:v>
      </x:c>
    </x:row>
    <x:row r="96">
      <x:c r="A96" s="5" t="n">
        <x:v>15</x:v>
      </x:c>
      <x:c r="B96" s="5" t="n">
        <x:v>73</x:v>
      </x:c>
      <x:c r="C96" t="str">
        <x:v>Fishing</x:v>
      </x:c>
      <x:c r="D96" t="str">
        <x:v>Chum Line</x:v>
      </x:c>
      <x:c r="E96" s="9" t="n">
        <x:v>70</x:v>
      </x:c>
      <x:c r="F96" s="9" t="n">
        <x:f>'Skilling Baseline'!H108</x:f>
        <x:v>38106</x:v>
      </x:c>
    </x:row>
    <x:row r="97">
      <x:c r="A97" s="5" t="n">
        <x:v>15</x:v>
      </x:c>
      <x:c r="B97" s="5" t="n">
        <x:v>73</x:v>
      </x:c>
      <x:c r="C97" t="str">
        <x:v>Fishing</x:v>
      </x:c>
      <x:c r="D97" t="str">
        <x:v>Pearl Bed</x:v>
      </x:c>
      <x:c r="E97" s="9" t="n">
        <x:v>74</x:v>
      </x:c>
      <x:c r="F97" s="9" t="n">
        <x:f>'Skilling Baseline'!H109</x:f>
        <x:v>41310.00000000001</x:v>
      </x:c>
    </x:row>
    <x:row r="98">
      <x:c r="A98" s="5" t="n">
        <x:v>16</x:v>
      </x:c>
      <x:c r="B98" s="5" t="n">
        <x:v>99</x:v>
      </x:c>
      <x:c r="C98" t="str">
        <x:v>Fishing</x:v>
      </x:c>
      <x:c r="D98" t="str">
        <x:v>Reflection</x:v>
      </x:c>
      <x:c r="E98" s="9" t="n">
        <x:v>95</x:v>
      </x:c>
      <x:c r="F98" s="9" t="n">
        <x:f>'Skilling Baseline'!H115</x:f>
        <x:v>439110.00000000006</x:v>
      </x:c>
    </x:row>
    <x:row r="99">
      <x:c r="A99" s="5" t="n">
        <x:v>17</x:v>
      </x:c>
      <x:c r="B99" s="5" t="n">
        <x:v>59</x:v>
      </x:c>
      <x:c r="C99" t="str">
        <x:v>Thieving</x:v>
      </x:c>
      <x:c r="D99" t="str">
        <x:v>Pickpocket Camera</x:v>
      </x:c>
      <x:c r="E99" s="9" t="n">
        <x:v>57</x:v>
      </x:c>
      <x:c r="F99" s="9" t="n">
        <x:f>'Skilling Baseline'!H23</x:f>
        <x:v>53412.17391304348</x:v>
      </x:c>
    </x:row>
    <x:row r="100">
      <x:c r="A100" s="5" t="n">
        <x:v>17</x:v>
      </x:c>
      <x:c r="B100" s="5" t="n">
        <x:v>59</x:v>
      </x:c>
      <x:c r="C100" t="str">
        <x:v>Thieving</x:v>
      </x:c>
      <x:c r="D100" t="str">
        <x:v>Hotwire Alien Ship</x:v>
      </x:c>
      <x:c r="E100" s="9" t="n">
        <x:v>62</x:v>
      </x:c>
      <x:c r="F100" s="9" t="n">
        <x:f>'Skilling Baseline'!H24</x:f>
        <x:v>52111.14893617021</x:v>
      </x:c>
    </x:row>
    <x:row r="101">
      <x:c r="A101" s="5" t="n">
        <x:v>17</x:v>
      </x:c>
      <x:c r="B101" s="5" t="n">
        <x:v>59</x:v>
      </x:c>
      <x:c r="C101" t="str">
        <x:v>Building</x:v>
      </x:c>
      <x:c r="D101" t="str">
        <x:v>Build Tall Silo</x:v>
      </x:c>
      <x:c r="E101" s="9" t="n">
        <x:v>60</x:v>
      </x:c>
      <x:c r="F101" s="9" t="n">
        <x:f>'Skilling Baseline'!H52</x:f>
        <x:v>57177.406340057634</x:v>
      </x:c>
    </x:row>
    <x:row r="102">
      <x:c r="A102" s="5" t="n">
        <x:v>17</x:v>
      </x:c>
      <x:c r="B102" s="5" t="n">
        <x:v>59</x:v>
      </x:c>
      <x:c r="C102" t="str">
        <x:v>Woodcutting</x:v>
      </x:c>
      <x:c r="D102" t="str">
        <x:v>Fight Ent</x:v>
      </x:c>
      <x:c r="E102" s="9" t="n">
        <x:v>56</x:v>
      </x:c>
      <x:c r="F102" s="9" t="n">
        <x:f>'Skilling Baseline'!H77</x:f>
        <x:v>39008.34782608696</x:v>
      </x:c>
    </x:row>
    <x:row r="103">
      <x:c r="A103" s="5" t="n">
        <x:v>17</x:v>
      </x:c>
      <x:c r="B103" s="5" t="n">
        <x:v>59</x:v>
      </x:c>
      <x:c r="C103" t="str">
        <x:v>Woodcutting</x:v>
      </x:c>
      <x:c r="D103" t="str">
        <x:v>Fell Tree That Remembers You</x:v>
      </x:c>
      <x:c r="E103" s="9" t="n">
        <x:v>60</x:v>
      </x:c>
      <x:c r="F103" s="9" t="n">
        <x:f>'Skilling Baseline'!H78</x:f>
        <x:v>39554.219653179185</x:v>
      </x:c>
    </x:row>
    <x:row r="104">
      <x:c r="A104" s="5" t="n">
        <x:v>17</x:v>
      </x:c>
      <x:c r="B104" s="5" t="n">
        <x:v>59</x:v>
      </x:c>
      <x:c r="C104" t="str">
        <x:v>Woodcutting</x:v>
      </x:c>
      <x:c r="D104" t="str">
        <x:v>Carve The Guild's Trophy Oar</x:v>
      </x:c>
      <x:c r="E104" s="9" t="n">
        <x:v>62</x:v>
      </x:c>
      <x:c r="F104" s="9" t="n">
        <x:f>'Skilling Baseline'!H79</x:f>
        <x:v>39813.98882681565</x:v>
      </x:c>
    </x:row>
    <x:row r="105">
      <x:c r="A105" s="5" t="n">
        <x:v>17</x:v>
      </x:c>
      <x:c r="B105" s="5" t="n">
        <x:v>59</x:v>
      </x:c>
      <x:c r="C105" t="str">
        <x:v>Fishing</x:v>
      </x:c>
      <x:c r="D105" t="str">
        <x:v>Fight A Shark</x:v>
      </x:c>
      <x:c r="E105" s="9" t="n">
        <x:v>56</x:v>
      </x:c>
      <x:c r="F105" s="9" t="n">
        <x:f>'Skilling Baseline'!H104</x:f>
        <x:v>30092.4</x:v>
      </x:c>
    </x:row>
    <x:row r="106">
      <x:c r="A106" s="5" t="n">
        <x:v>17</x:v>
      </x:c>
      <x:c r="B106" s="5" t="n">
        <x:v>59</x:v>
      </x:c>
      <x:c r="C106" t="str">
        <x:v>Fishing</x:v>
      </x:c>
      <x:c r="D106" t="str">
        <x:v>Night Reef</x:v>
      </x:c>
      <x:c r="E106" s="9" t="n">
        <x:v>58</x:v>
      </x:c>
      <x:c r="F106" s="9" t="n">
        <x:f>'Skilling Baseline'!H105</x:f>
        <x:v>31828.5</x:v>
      </x:c>
    </x:row>
    <x:row r="107">
      <x:c r="A107" s="5" t="n">
        <x:v>17</x:v>
      </x:c>
      <x:c r="B107" s="5" t="n">
        <x:v>59</x:v>
      </x:c>
      <x:c r="C107" t="str">
        <x:v>Fishing</x:v>
      </x:c>
      <x:c r="D107" t="str">
        <x:v>Loot A Pirate Ship</x:v>
      </x:c>
      <x:c r="E107" s="9" t="n">
        <x:v>60</x:v>
      </x:c>
      <x:c r="F107" s="9" t="n">
        <x:f>'Skilling Baseline'!H106</x:f>
        <x:v>20476.8</x:v>
      </x:c>
    </x:row>
    <x:row r="108">
      <x:c r="A108" s="5" t="n">
        <x:v>18</x:v>
      </x:c>
      <x:c r="B108" s="5" t="n">
        <x:v>79</x:v>
      </x:c>
      <x:c r="C108" t="str">
        <x:v>Thieving</x:v>
      </x:c>
      <x:c r="D108" t="str">
        <x:v>Shoplift From Money</x:v>
      </x:c>
      <x:c r="E108" s="9" t="n">
        <x:v>76</x:v>
      </x:c>
      <x:c r="F108" s="9" t="n">
        <x:f>'Skilling Baseline'!H28</x:f>
        <x:v>62500.09478672986</x:v>
      </x:c>
    </x:row>
    <x:row r="109">
      <x:c r="A109" s="5" t="n">
        <x:v>18</x:v>
      </x:c>
      <x:c r="B109" s="5" t="n">
        <x:v>79</x:v>
      </x:c>
      <x:c r="C109" t="str">
        <x:v>Thieving</x:v>
      </x:c>
      <x:c r="D109" t="str">
        <x:v>Crack Dimensional Vault</x:v>
      </x:c>
      <x:c r="E109" s="9" t="n">
        <x:v>78</x:v>
      </x:c>
      <x:c r="F109" s="9" t="n">
        <x:f>'Skilling Baseline'!H29</x:f>
        <x:v>65573.42756183745</x:v>
      </x:c>
    </x:row>
    <x:row r="110">
      <x:c r="A110" s="5" t="n">
        <x:v>18</x:v>
      </x:c>
      <x:c r="B110" s="5" t="n">
        <x:v>79</x:v>
      </x:c>
      <x:c r="C110" t="str">
        <x:v>Thieving</x:v>
      </x:c>
      <x:c r="D110" t="str">
        <x:v>Pickpocket Dimensional God</x:v>
      </x:c>
      <x:c r="E110" s="9" t="n">
        <x:v>79</x:v>
      </x:c>
      <x:c r="F110" s="9" t="n">
        <x:f>'Skilling Baseline'!H30</x:f>
        <x:v>65007.59725400458</x:v>
      </x:c>
    </x:row>
    <x:row r="111">
      <x:c r="A111" s="5" t="n">
        <x:v>18</x:v>
      </x:c>
      <x:c r="B111" s="5" t="n">
        <x:v>79</x:v>
      </x:c>
      <x:c r="C111" t="str">
        <x:v>Thieving</x:v>
      </x:c>
      <x:c r="D111" t="str">
        <x:v>Steal Your Alibi</x:v>
      </x:c>
      <x:c r="E111" s="9" t="n">
        <x:v>80</x:v>
      </x:c>
      <x:c r="F111" s="9" t="n">
        <x:f>'Skilling Baseline'!H31</x:f>
        <x:v>67018.90160183066</x:v>
      </x:c>
    </x:row>
    <x:row r="112">
      <x:c r="A112" s="5" t="n">
        <x:v>18</x:v>
      </x:c>
      <x:c r="B112" s="5" t="n">
        <x:v>79</x:v>
      </x:c>
      <x:c r="C112" t="str">
        <x:v>Building</x:v>
      </x:c>
      <x:c r="D112" t="str">
        <x:v>Build Weatherproof Weather</x:v>
      </x:c>
      <x:c r="E112" s="9" t="n">
        <x:v>77</x:v>
      </x:c>
      <x:c r="F112" s="9" t="n">
        <x:f>'Skilling Baseline'!H57</x:f>
        <x:v>69677.2602739726</x:v>
      </x:c>
    </x:row>
    <x:row r="113">
      <x:c r="A113" s="5" t="n">
        <x:v>18</x:v>
      </x:c>
      <x:c r="B113" s="5" t="n">
        <x:v>79</x:v>
      </x:c>
      <x:c r="C113" t="str">
        <x:v>Building</x:v>
      </x:c>
      <x:c r="D113" t="str">
        <x:v>Renovate The Horizon</x:v>
      </x:c>
      <x:c r="E113" s="9" t="n">
        <x:v>78</x:v>
      </x:c>
      <x:c r="F113" s="9" t="n">
        <x:f>'Skilling Baseline'!H58</x:f>
        <x:v>70098.15969581748</x:v>
      </x:c>
    </x:row>
    <x:row r="114">
      <x:c r="A114" s="5" t="n">
        <x:v>18</x:v>
      </x:c>
      <x:c r="B114" s="5" t="n">
        <x:v>79</x:v>
      </x:c>
      <x:c r="C114" t="str">
        <x:v>Building</x:v>
      </x:c>
      <x:c r="D114" t="str">
        <x:v>Permit Mega Structure</x:v>
      </x:c>
      <x:c r="E114" s="9" t="n">
        <x:v>79</x:v>
      </x:c>
      <x:c r="F114" s="9" t="n">
        <x:f>'Skilling Baseline'!H59</x:f>
        <x:v>69831.16728624536</x:v>
      </x:c>
    </x:row>
    <x:row r="115">
      <x:c r="A115" s="5" t="n">
        <x:v>18</x:v>
      </x:c>
      <x:c r="B115" s="5" t="n">
        <x:v>79</x:v>
      </x:c>
      <x:c r="C115" t="str">
        <x:v>Building</x:v>
      </x:c>
      <x:c r="D115" t="str">
        <x:v>Build Builder Building</x:v>
      </x:c>
      <x:c r="E115" s="9" t="n">
        <x:v>80</x:v>
      </x:c>
      <x:c r="F115" s="9" t="n">
        <x:f>'Skilling Baseline'!H60</x:f>
        <x:v>71866.7063197026</x:v>
      </x:c>
    </x:row>
    <x:row r="116">
      <x:c r="A116" s="5" t="n">
        <x:v>18</x:v>
      </x:c>
      <x:c r="B116" s="5" t="n">
        <x:v>79</x:v>
      </x:c>
      <x:c r="C116" t="str">
        <x:v>Woodcutting</x:v>
      </x:c>
      <x:c r="D116" t="str">
        <x:v>Chop A Tree In Four Timelines</x:v>
      </x:c>
      <x:c r="E116" s="9" t="n">
        <x:v>77</x:v>
      </x:c>
      <x:c r="F116" s="9" t="n">
        <x:f>'Skilling Baseline'!H84</x:f>
        <x:v>49359.194876486734</x:v>
      </x:c>
    </x:row>
    <x:row r="117">
      <x:c r="A117" s="5" t="n">
        <x:v>18</x:v>
      </x:c>
      <x:c r="B117" s="5" t="n">
        <x:v>79</x:v>
      </x:c>
      <x:c r="C117" t="str">
        <x:v>Woodcutting</x:v>
      </x:c>
      <x:c r="D117" t="str">
        <x:v>Chop Super Tall Tree</x:v>
      </x:c>
      <x:c r="E117" s="9" t="n">
        <x:v>78</x:v>
      </x:c>
      <x:c r="F117" s="9" t="n">
        <x:f>'Skilling Baseline'!H85</x:f>
        <x:v>51581.44556267155</x:v>
      </x:c>
    </x:row>
    <x:row r="118">
      <x:c r="A118" s="5" t="n">
        <x:v>18</x:v>
      </x:c>
      <x:c r="B118" s="5" t="n">
        <x:v>79</x:v>
      </x:c>
      <x:c r="C118" t="str">
        <x:v>Woodcutting</x:v>
      </x:c>
      <x:c r="D118" t="str">
        <x:v>Harvest Ironwood</x:v>
      </x:c>
      <x:c r="E118" s="9" t="n">
        <x:v>79</x:v>
      </x:c>
      <x:c r="F118" s="9" t="n">
        <x:f>'Skilling Baseline'!H86</x:f>
        <x:v>52483.82142857143</x:v>
      </x:c>
    </x:row>
    <x:row r="119">
      <x:c r="A119" s="5" t="n">
        <x:v>18</x:v>
      </x:c>
      <x:c r="B119" s="5" t="n">
        <x:v>79</x:v>
      </x:c>
      <x:c r="C119" t="str">
        <x:v>Woodcutting</x:v>
      </x:c>
      <x:c r="D119" t="str">
        <x:v>Clear The Infinite Lumberyard</x:v>
      </x:c>
      <x:c r="E119" s="9" t="n">
        <x:v>80</x:v>
      </x:c>
      <x:c r="F119" s="9" t="n">
        <x:f>'Skilling Baseline'!H87</x:f>
        <x:v>54223.71428571429</x:v>
      </x:c>
    </x:row>
    <x:row r="120">
      <x:c r="A120" s="5" t="n">
        <x:v>18</x:v>
      </x:c>
      <x:c r="B120" s="5" t="n">
        <x:v>79</x:v>
      </x:c>
      <x:c r="C120" t="str">
        <x:v>Fishing</x:v>
      </x:c>
      <x:c r="D120" t="str">
        <x:v>Storm Line</x:v>
      </x:c>
      <x:c r="E120" s="9" t="n">
        <x:v>78</x:v>
      </x:c>
      <x:c r="F120" s="9" t="n">
        <x:f>'Skilling Baseline'!H110</x:f>
        <x:v>39744.899999999994</x:v>
      </x:c>
    </x:row>
    <x:row r="121">
      <x:c r="A121" s="5" t="n">
        <x:v>18</x:v>
      </x:c>
      <x:c r="B121" s="5" t="n">
        <x:v>79</x:v>
      </x:c>
      <x:c r="C121" t="str">
        <x:v>Fishing</x:v>
      </x:c>
      <x:c r="D121" t="str">
        <x:v>Wreck Drop</x:v>
      </x:c>
      <x:c r="E121" s="9" t="n">
        <x:v>82</x:v>
      </x:c>
      <x:c r="F121" s="9" t="n">
        <x:f>'Skilling Baseline'!H111</x:f>
        <x:v>42973.200000000004</x:v>
      </x:c>
    </x:row>
    <x:row r="122">
      <x:c r="A122" s="5" t="n">
        <x:v>19</x:v>
      </x:c>
      <x:c r="B122" s="5" t="n">
        <x:v>99</x:v>
      </x:c>
      <x:c r="C122" t="str">
        <x:v>Fishing</x:v>
      </x:c>
      <x:c r="D122" t="str">
        <x:v>Reflection</x:v>
      </x:c>
      <x:c r="E122" s="9" t="n">
        <x:v>95</x:v>
      </x:c>
      <x:c r="F122" s="9" t="n">
        <x:f>'Skilling Baseline'!H115</x:f>
        <x:v>439110.00000000006</x:v>
      </x:c>
    </x:row>
    <x:row r="123">
      <x:c r="A123" s="5" t="n">
        <x:v>20</x:v>
      </x:c>
      <x:c r="B123" s="5" t="n">
        <x:v>74</x:v>
      </x:c>
      <x:c r="C123" t="str">
        <x:v>Thieving</x:v>
      </x:c>
      <x:c r="D123" t="str">
        <x:v>Forge A Receipt For The Moon</x:v>
      </x:c>
      <x:c r="E123" s="9" t="n">
        <x:v>71</x:v>
      </x:c>
      <x:c r="F123" s="9" t="n">
        <x:f>'Skilling Baseline'!H26</x:f>
        <x:v>58025.284974093265</x:v>
      </x:c>
    </x:row>
    <x:row r="124">
      <x:c r="A124" s="5" t="n">
        <x:v>20</x:v>
      </x:c>
      <x:c r="B124" s="5" t="n">
        <x:v>74</x:v>
      </x:c>
      <x:c r="C124" t="str">
        <x:v>Thieving</x:v>
      </x:c>
      <x:c r="D124" t="str">
        <x:v>Burgle Wizard Dream</x:v>
      </x:c>
      <x:c r="E124" s="9" t="n">
        <x:v>74</x:v>
      </x:c>
      <x:c r="F124" s="9" t="n">
        <x:f>'Skilling Baseline'!H27</x:f>
        <x:v>62814.50381679389</x:v>
      </x:c>
    </x:row>
    <x:row r="125">
      <x:c r="A125" s="5" t="n">
        <x:v>20</x:v>
      </x:c>
      <x:c r="B125" s="5" t="n">
        <x:v>74</x:v>
      </x:c>
      <x:c r="C125" t="str">
        <x:v>Thieving</x:v>
      </x:c>
      <x:c r="D125" t="str">
        <x:v>Shoplift From Money</x:v>
      </x:c>
      <x:c r="E125" s="9" t="n">
        <x:v>76</x:v>
      </x:c>
      <x:c r="F125" s="9" t="n">
        <x:f>'Skilling Baseline'!H28</x:f>
        <x:v>62500.09478672986</x:v>
      </x:c>
    </x:row>
    <x:row r="126">
      <x:c r="A126" s="5" t="n">
        <x:v>20</x:v>
      </x:c>
      <x:c r="B126" s="5" t="n">
        <x:v>74</x:v>
      </x:c>
      <x:c r="C126" t="str">
        <x:v>Building</x:v>
      </x:c>
      <x:c r="D126" t="str">
        <x:v>Add Second Elite Tower On Top</x:v>
      </x:c>
      <x:c r="E126" s="9" t="n">
        <x:v>73</x:v>
      </x:c>
      <x:c r="F126" s="9" t="n">
        <x:f>'Skilling Baseline'!H55</x:f>
        <x:v>65889.38110749186</x:v>
      </x:c>
    </x:row>
    <x:row r="127">
      <x:c r="A127" s="5" t="n">
        <x:v>20</x:v>
      </x:c>
      <x:c r="B127" s="5" t="n">
        <x:v>74</x:v>
      </x:c>
      <x:c r="C127" t="str">
        <x:v>Building</x:v>
      </x:c>
      <x:c r="D127" t="str">
        <x:v>Construct Underground Town</x:v>
      </x:c>
      <x:c r="E127" s="9" t="n">
        <x:v>75</x:v>
      </x:c>
      <x:c r="F127" s="9" t="n">
        <x:f>'Skilling Baseline'!H56</x:f>
        <x:v>68532.66141732284</x:v>
      </x:c>
    </x:row>
    <x:row r="128">
      <x:c r="A128" s="5" t="n">
        <x:v>20</x:v>
      </x:c>
      <x:c r="B128" s="5" t="n">
        <x:v>74</x:v>
      </x:c>
      <x:c r="C128" t="str">
        <x:v>Building</x:v>
      </x:c>
      <x:c r="D128" t="str">
        <x:v>Build Weatherproof Weather</x:v>
      </x:c>
      <x:c r="E128" s="9" t="n">
        <x:v>77</x:v>
      </x:c>
      <x:c r="F128" s="9" t="n">
        <x:f>'Skilling Baseline'!H57</x:f>
        <x:v>69677.2602739726</x:v>
      </x:c>
    </x:row>
    <x:row r="129">
      <x:c r="A129" s="5" t="n">
        <x:v>20</x:v>
      </x:c>
      <x:c r="B129" s="5" t="n">
        <x:v>74</x:v>
      </x:c>
      <x:c r="C129" t="str">
        <x:v>Woodcutting</x:v>
      </x:c>
      <x:c r="D129" t="str">
        <x:v>Clear Forest Legal</x:v>
      </x:c>
      <x:c r="E129" s="9" t="n">
        <x:v>73</x:v>
      </x:c>
      <x:c r="F129" s="9" t="n">
        <x:f>'Skilling Baseline'!H82</x:f>
        <x:v>43185.868498527976</x:v>
      </x:c>
    </x:row>
    <x:row r="130">
      <x:c r="A130" s="5" t="n">
        <x:v>20</x:v>
      </x:c>
      <x:c r="B130" s="5" t="n">
        <x:v>74</x:v>
      </x:c>
      <x:c r="C130" t="str">
        <x:v>Woodcutting</x:v>
      </x:c>
      <x:c r="D130" t="str">
        <x:v>Axe World Tree Forms</x:v>
      </x:c>
      <x:c r="E130" s="9" t="n">
        <x:v>75</x:v>
      </x:c>
      <x:c r="F130" s="9" t="n">
        <x:f>'Skilling Baseline'!H83</x:f>
        <x:v>46008</x:v>
      </x:c>
    </x:row>
    <x:row r="131">
      <x:c r="A131" s="5" t="n">
        <x:v>20</x:v>
      </x:c>
      <x:c r="B131" s="5" t="n">
        <x:v>74</x:v>
      </x:c>
      <x:c r="C131" t="str">
        <x:v>Woodcutting</x:v>
      </x:c>
      <x:c r="D131" t="str">
        <x:v>Chop A Tree In Four Timelines</x:v>
      </x:c>
      <x:c r="E131" s="9" t="n">
        <x:v>77</x:v>
      </x:c>
      <x:c r="F131" s="9" t="n">
        <x:f>'Skilling Baseline'!H84</x:f>
        <x:v>49359.194876486734</x:v>
      </x:c>
    </x:row>
    <x:row r="132">
      <x:c r="A132" s="5" t="n">
        <x:v>20</x:v>
      </x:c>
      <x:c r="B132" s="5" t="n">
        <x:v>74</x:v>
      </x:c>
      <x:c r="C132" t="str">
        <x:v>Fishing</x:v>
      </x:c>
      <x:c r="D132" t="str">
        <x:v>Pearl Bed</x:v>
      </x:c>
      <x:c r="E132" s="9" t="n">
        <x:v>74</x:v>
      </x:c>
      <x:c r="F132" s="9" t="n">
        <x:f>'Skilling Baseline'!H109</x:f>
        <x:v>41310.00000000001</x:v>
      </x:c>
    </x:row>
    <x:row r="133">
      <x:c r="A133" s="5" t="n">
        <x:v>21</x:v>
      </x:c>
      <x:c r="B133" s="5" t="n">
        <x:v>87</x:v>
      </x:c>
      <x:c r="C133" t="str">
        <x:v>Fishing</x:v>
      </x:c>
      <x:c r="D133" t="str">
        <x:v>Abyss</x:v>
      </x:c>
      <x:c r="E133" s="9" t="n">
        <x:v>86</x:v>
      </x:c>
      <x:c r="F133" s="9" t="n">
        <x:f>'Skilling Baseline'!H112</x:f>
        <x:v>43923.6</x:v>
      </x:c>
    </x:row>
    <x:row r="134">
      <x:c r="A134" s="5" t="n">
        <x:v>21</x:v>
      </x:c>
      <x:c r="B134" s="5" t="n">
        <x:v>87</x:v>
      </x:c>
      <x:c r="C134" t="str">
        <x:v>Fishing</x:v>
      </x:c>
      <x:c r="D134" t="str">
        <x:v>Deep Trench</x:v>
      </x:c>
      <x:c r="E134" s="9" t="n">
        <x:v>88</x:v>
      </x:c>
      <x:c r="F134" s="9" t="n">
        <x:f>'Skilling Baseline'!H113</x:f>
        <x:v>45171</x:v>
      </x:c>
    </x:row>
    <x:row r="135">
      <x:c r="A135" s="5" t="n">
        <x:v>21</x:v>
      </x:c>
      <x:c r="B135" s="5" t="n">
        <x:v>87</x:v>
      </x:c>
      <x:c r="C135" t="str">
        <x:v>Fishing</x:v>
      </x:c>
      <x:c r="D135" t="str">
        <x:v>Starlight</x:v>
      </x:c>
      <x:c r="E135" s="9" t="n">
        <x:v>90</x:v>
      </x:c>
      <x:c r="F135" s="9" t="n">
        <x:f>'Skilling Baseline'!H114</x:f>
        <x:v>377009.1</x:v>
      </x:c>
    </x:row>
    <x:row r="136">
      <x:c r="A136" s="5" t="n">
        <x:v>22</x:v>
      </x:c>
      <x:c r="B136" s="5" t="n">
        <x:v>99</x:v>
      </x:c>
      <x:c r="C136" t="str">
        <x:v>Fishing</x:v>
      </x:c>
      <x:c r="D136" t="str">
        <x:v>Reflection</x:v>
      </x:c>
      <x:c r="E136" s="9" t="n">
        <x:v>95</x:v>
      </x:c>
      <x:c r="F136" s="9" t="n">
        <x:f>'Skilling Baseline'!H115</x:f>
        <x:v>439110.00000000006</x:v>
      </x:c>
    </x:row>
    <x:row r="137">
      <x:c r="A137" s="5" t="n">
        <x:v>23</x:v>
      </x:c>
      <x:c r="B137" s="5" t="n">
        <x:v>88</x:v>
      </x:c>
      <x:c r="C137" t="str">
        <x:v>Fishing</x:v>
      </x:c>
      <x:c r="D137" t="str">
        <x:v>Abyss</x:v>
      </x:c>
      <x:c r="E137" s="9" t="n">
        <x:v>86</x:v>
      </x:c>
      <x:c r="F137" s="9" t="n">
        <x:f>'Skilling Baseline'!H112</x:f>
        <x:v>43923.6</x:v>
      </x:c>
    </x:row>
    <x:row r="138">
      <x:c r="A138" s="5" t="n">
        <x:v>23</x:v>
      </x:c>
      <x:c r="B138" s="5" t="n">
        <x:v>88</x:v>
      </x:c>
      <x:c r="C138" t="str">
        <x:v>Fishing</x:v>
      </x:c>
      <x:c r="D138" t="str">
        <x:v>Deep Trench</x:v>
      </x:c>
      <x:c r="E138" s="9" t="n">
        <x:v>88</x:v>
      </x:c>
      <x:c r="F138" s="9" t="n">
        <x:f>'Skilling Baseline'!H113</x:f>
        <x:v>45171</x:v>
      </x:c>
    </x:row>
    <x:row r="139">
      <x:c r="A139" s="5" t="n">
        <x:v>23</x:v>
      </x:c>
      <x:c r="B139" s="5" t="n">
        <x:v>88</x:v>
      </x:c>
      <x:c r="C139" t="str">
        <x:v>Fishing</x:v>
      </x:c>
      <x:c r="D139" t="str">
        <x:v>Starlight</x:v>
      </x:c>
      <x:c r="E139" s="9" t="n">
        <x:v>90</x:v>
      </x:c>
      <x:c r="F139" s="9" t="n">
        <x:f>'Skilling Baseline'!H114</x:f>
        <x:v>377009.1</x:v>
      </x:c>
    </x:row>
    <x:row r="140">
      <x:c r="A140" s="5" t="n">
        <x:v>24</x:v>
      </x:c>
      <x:c r="B140" s="5" t="n">
        <x:v>94</x:v>
      </x:c>
      <x:c r="C140" t="str">
        <x:v>Fishing</x:v>
      </x:c>
      <x:c r="D140" t="str">
        <x:v>Reflection</x:v>
      </x:c>
      <x:c r="E140" s="9" t="n">
        <x:v>95</x:v>
      </x:c>
      <x:c r="F140" s="9" t="n">
        <x:f>'Skilling Baseline'!H115</x:f>
        <x:v>439110.00000000006</x:v>
      </x:c>
    </x:row>
    <x:row r="141">
      <x:c r="A141" s="5" t="n">
        <x:v>25</x:v>
      </x:c>
      <x:c r="B141" s="5" t="n">
        <x:v>99</x:v>
      </x:c>
      <x:c r="C141" t="str">
        <x:v>Fishing</x:v>
      </x:c>
      <x:c r="D141" t="str">
        <x:v>Reflection</x:v>
      </x:c>
      <x:c r="E141" s="9" t="n">
        <x:v>95</x:v>
      </x:c>
      <x:c r="F141" s="9" t="n">
        <x:f>'Skilling Baseline'!H115</x:f>
        <x:v>439110.00000000006</x:v>
      </x:c>
    </x:row>
    <x:row r="142">
      <x:c r="A142" s="5" t="n">
        <x:v>26</x:v>
      </x:c>
      <x:c r="B142" s="5" t="n">
        <x:v>98</x:v>
      </x:c>
      <x:c r="C142" t="str">
        <x:v>Fishing</x:v>
      </x:c>
      <x:c r="D142" t="str">
        <x:v>Reflection</x:v>
      </x:c>
      <x:c r="E142" s="9" t="n">
        <x:v>95</x:v>
      </x:c>
      <x:c r="F142" s="9" t="n">
        <x:f>'Skilling Baseline'!H115</x:f>
        <x:v>439110.00000000006</x:v>
      </x:c>
    </x:row>
    <x:row r="143">
      <x:c r="A143" s="5" t="n">
        <x:v>27</x:v>
      </x:c>
      <x:c r="B143" s="5" t="n">
        <x:v>99</x:v>
      </x:c>
      <x:c r="C143" t="str">
        <x:v>Fishing</x:v>
      </x:c>
      <x:c r="D143" t="str">
        <x:v>Reflection</x:v>
      </x:c>
      <x:c r="E143" s="9" t="n">
        <x:v>95</x:v>
      </x:c>
      <x:c r="F143" s="9" t="n">
        <x:f>'Skilling Baseline'!H115</x:f>
        <x:v>439110.00000000006</x:v>
      </x:c>
    </x:row>
  </x:sheetData>
  <x:pageMargins left="0.7" right="0.7" top="0.75" bottom="0.75" header="0.3" footer="0.3"/>
</x:worksheet>
</file>